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tc={02f868f9-1f69-46fb-9771-bcaf0b5fca32}</author>
    <author>tc={0316c562-7c86-4473-a38a-7b9feebf9cd3}</author>
    <author>tc={034bd94a-38c2-4ec2-9886-eaffd0b17861}</author>
    <author>tc={0a7b273a-4117-45d8-907b-ba7febad9979}</author>
    <author>tc={1dfa711e-9719-4742-9920-fadce4cbe56c}</author>
    <author>tc={32bc888f-5b68-4a6d-8622-0f500ac1e9d8}</author>
    <author>tc={349e9b6c-0659-4de7-b486-3189baa6d913}</author>
    <author>tc={488f5609-ea65-4dfc-8a00-1fabaa3dbbe2}</author>
    <author>tc={48a723c2-f08c-457f-90c1-10f3fbe7c610}</author>
    <author>tc={593cc2e5-b8e4-428d-8361-1bc07c0f1746}</author>
    <author>tc={5a3851f9-03c0-4b37-9e0f-2f5868f8b619}</author>
    <author>tc={5cf0b360-bafb-415a-8c99-c2150cef9e2b}</author>
    <author>tc={5fe81d25-4f2d-4dd0-a9dc-64a8c4ee11fd}</author>
    <author>tc={7311db15-d1b5-438c-937a-776a807f0790}</author>
    <author>tc={891807d5-6794-47a1-9e71-d218b96537fb}</author>
    <author>tc={c874b665-f3fb-4d99-af39-66eca65a6a29}</author>
    <author>tc={d7a7bc09-ede7-4bb3-b2d7-3f9eccf264ab}</author>
    <author>tc={ebe3ec6b-8d1a-4b60-824e-9c31e2f25fd9}</author>
    <author>tc={ecb34f84-d350-4389-98e5-25edf2c963ac}</author>
    <author>tc={f3236f87-c0f3-42c2-812e-2d0747dab911}</author>
    <author>tc={f3db1f01-6ce4-4413-a420-00f9202f627d}</author>
    <author>tc={f89c9d60-69f4-4521-9381-74fd4b00f045}</author>
  </authors>
  <commentList>
    <comment authorId="0" xr:uid="{02f868f9-1f69-46fb-9771-bcaf0b5fca32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toàn bộ các job THIẾU NGÀY THANH TOÁN TỪNG ĐỢT - ngày này bôi đỏ, bold
</t>
      </text>
    </comment>
    <comment authorId="1" xr:uid="{0316c562-7c86-4473-a38a-7b9feebf9cd3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thêm DỰ PHÓNG DOANH THU VÀO ĐÂY Yến ơi
</t>
      </text>
    </comment>
    <comment authorId="2" xr:uid="{034bd94a-38c2-4ec2-9886-eaffd0b17861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tại sao ko ai điền ngày thanh toán
</t>
      </text>
    </comment>
    <comment authorId="3" xr:uid="{0a7b273a-4117-45d8-907b-ba7febad9979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YẾN: TOÀN BỘ JOB BỔ SUNG 2 VIỆC
- khách gửi lại bản cứng
- Kế toán lưu bản scan full bộ chứng từ vào drive
Reply:
	PM là người nhận bản cứng thì em nghĩ các bạn scan và đẩy lên folder luôn chị ạ
</t>
      </text>
    </comment>
    <comment authorId="4" xr:uid="{1dfa711e-9719-4742-9920-fadce4cbe56c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thiếu dòng này rồi
Reply:
	Em đã bổ sung ạ
</t>
      </text>
    </comment>
    <comment authorId="5" xr:uid="{32bc888f-5b68-4a6d-8622-0f500ac1e9d8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tuần này phải ốp hoá đơn đợt 2 đi chứ, để sang 1 tuần nữa làm gì
Reply:
	Em đã sửa ạ
</t>
      </text>
    </comment>
    <comment authorId="6" xr:uid="{349e9b6c-0659-4de7-b486-3189baa6d913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THIẾU khoản chi com cho HNS 3 clip
Reply:
	Em đã bổ sung ạ
</t>
      </text>
    </comment>
    <comment authorId="7" xr:uid="{488f5609-ea65-4dfc-8a00-1fabaa3dbbe2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HOÀNG HỨA LÀ 13/7 FINAL CLIP 2
</t>
      </text>
    </comment>
    <comment authorId="8" xr:uid="{48a723c2-f08c-457f-90c1-10f3fbe7c610}" ref="F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theo cmt của chị bên sheet quản trị
</t>
      </text>
    </comment>
    <comment authorId="9" xr:uid="{593cc2e5-b8e4-428d-8361-1bc07c0f174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thêm job ký hộ AI TCB
Reply:
	em đã thêm ạ
</t>
      </text>
    </comment>
    <comment authorId="10" xr:uid="{5a3851f9-03c0-4b37-9e0f-2f5868f8b619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trong từng ô này, em ghi ngày cụ thể của công việc
</t>
      </text>
    </comment>
    <comment authorId="11" xr:uid="{5cf0b360-bafb-415a-8c99-c2150cef9e2b}" ref="L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toàn bộ phần dự phóng đang sai với file quản trị tổng này Yến
</t>
      </text>
    </comment>
    <comment authorId="12" xr:uid="{5fe81d25-4f2d-4dd0-a9dc-64a8c4ee11fd}" ref="F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sửa theo comment của c trong file tài chính
</t>
      </text>
    </comment>
    <comment authorId="13" xr:uid="{7311db15-d1b5-438c-937a-776a807f0790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những cái gì đã xong em gạch ngang
</t>
      </text>
    </comment>
    <comment authorId="14" xr:uid="{891807d5-6794-47a1-9e71-d218b96537fb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YẾN ới giục thanh toán đi
</t>
      </text>
    </comment>
    <comment authorId="15" xr:uid="{c874b665-f3fb-4d99-af39-66eca65a6a29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Yến ơi sao thanh toán lâu vậy, phải thanh toán vào tuần 13-19/7 chứ
Reply:
	Bên này là thanh toán trong vòng 15 ngày làm việc chị ạ. Nên phải đến 20-21/7 là thời gian chậm nhất đc thanh toán ạ
</t>
      </text>
    </comment>
    <comment authorId="16" xr:uid="{d7a7bc09-ede7-4bb3-b2d7-3f9eccf264ab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màu này là job ký hộ
</t>
      </text>
    </comment>
    <comment authorId="17" xr:uid="{ebe3ec6b-8d1a-4b60-824e-9c31e2f25fd9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NDA?
Reply:
	Em đã sửa ạ
</t>
      </text>
    </comment>
    <comment authorId="18" xr:uid="{ecb34f84-d350-4389-98e5-25edf2c963ac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NGÀY CỤ THỂ ĐÂU?
</t>
      </text>
    </comment>
    <comment authorId="19" xr:uid="{f3236f87-c0f3-42c2-812e-2d0747dab911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 bổ sung 1 cụm cho CHỨNG TỪ, cần cực kỳ chi tiết để kiểm soát được toàn bộ khâu này
</t>
      </text>
    </comment>
    <comment authorId="20" xr:uid="{f3db1f01-6ce4-4413-a420-00f9202f627d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NGÀY CỤ THỂ ĐÂU?
</t>
      </text>
    </comment>
    <comment authorId="21" xr:uid="{f89c9d60-69f4-4521-9381-74fd4b00f045}" ref="F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các khoản nào đã thanh toán thì bôi ghi
</t>
      </text>
    </comment>
  </commentList>
</comments>
</file>

<file path=xl/sharedStrings.xml><?xml version="1.0" encoding="utf-8"?>
<sst xmlns="http://schemas.openxmlformats.org/spreadsheetml/2006/main" count="176" uniqueCount="165">
  <si>
    <r>
      <rPr>
        <rFont val="Montserrat"/>
        <b/>
        <color rgb="FFFF0000"/>
        <sz val="11.0"/>
      </rPr>
      <t xml:space="preserve">CHỮ ĐỎ LÀ NGÀY THANH TOÁN 
</t>
    </r>
    <r>
      <rPr>
        <rFont val="Montserrat"/>
        <b/>
        <color rgb="FF0000FF"/>
        <sz val="11.0"/>
      </rPr>
      <t>CHỮ XANH LÀ NGÀY SHOOTING / HOÀN THIỆN JOB
PHẢI GHI RÕ NGÀY, BOLD, IN HOA</t>
    </r>
  </si>
  <si>
    <t>PHẢI CHỐT JOB MỚI THEO PLAN DỰ PHÓNG - NẾU THỰC TẾ PM KHÔNG BÁO CHỐT JOB MỚI THEO ĐÚNG TUẦN NÀY THÌ YẾN PHẢI UPDATE VÀ LÙI TIẾN ĐỘ DỰ PHÓNG TƯƠNG ỨNG</t>
  </si>
  <si>
    <t>🔥 TUYỆT ĐỐI LƯU Ý - DỰ PHÓNG BẮT ĐẦU TỪ TUẦN NÀY</t>
  </si>
  <si>
    <t xml:space="preserve">PPW &amp; Thanh toán &amp; Thời gian làm job </t>
  </si>
  <si>
    <t>04/05-10/05</t>
  </si>
  <si>
    <t>11/05-17/05</t>
  </si>
  <si>
    <t>18/05-24/05</t>
  </si>
  <si>
    <t>25/05-31/05</t>
  </si>
  <si>
    <t>01/06-07/06</t>
  </si>
  <si>
    <t>08/06-14/06</t>
  </si>
  <si>
    <t>15/06-21/06</t>
  </si>
  <si>
    <t>22/06-28/06</t>
  </si>
  <si>
    <t>29/06-05/07</t>
  </si>
  <si>
    <t>06/07-12/07</t>
  </si>
  <si>
    <t>13/07-19/07</t>
  </si>
  <si>
    <t>20/07-26/07</t>
  </si>
  <si>
    <t>27/07-02/08</t>
  </si>
  <si>
    <t>03/08-09/08</t>
  </si>
  <si>
    <t>10/08-16/08</t>
  </si>
  <si>
    <t>17/08-23/08</t>
  </si>
  <si>
    <t>24/08-30/08</t>
  </si>
  <si>
    <t>31/08-06/09</t>
  </si>
  <si>
    <t>07/09-13/09</t>
  </si>
  <si>
    <t>14/09-20/09</t>
  </si>
  <si>
    <t>21/09-27/09</t>
  </si>
  <si>
    <t>28/9-04/10</t>
  </si>
  <si>
    <t>05/10-11/10</t>
  </si>
  <si>
    <t>12/10-18/10</t>
  </si>
  <si>
    <t>18/10-24/10</t>
  </si>
  <si>
    <t>25/10-01/11</t>
  </si>
  <si>
    <t>02/11-08/11</t>
  </si>
  <si>
    <t>09/11-15-11</t>
  </si>
  <si>
    <t>16/11-22/11</t>
  </si>
  <si>
    <t>23/11-29/11</t>
  </si>
  <si>
    <t>30/11-05/12</t>
  </si>
  <si>
    <t>06/12-12/12</t>
  </si>
  <si>
    <t>13/12-19/12</t>
  </si>
  <si>
    <t>20/12-26/12</t>
  </si>
  <si>
    <t>27/12-01/01</t>
  </si>
  <si>
    <t>02/01-08/01</t>
  </si>
  <si>
    <t>Nomad Teaser Đồ Sơn - Thái PM</t>
  </si>
  <si>
    <t>- Hợp đồng
- ĐNTT
- Hóa đơn nháp</t>
  </si>
  <si>
    <r>
      <rPr>
        <rFont val="Montserrat"/>
        <color theme="1"/>
        <sz val="11.0"/>
      </rPr>
      <t xml:space="preserve">
</t>
    </r>
    <r>
      <rPr>
        <rFont val="Montserrat"/>
        <b/>
        <color rgb="FF0000FF"/>
        <sz val="11.0"/>
      </rPr>
      <t xml:space="preserve">
</t>
    </r>
    <r>
      <rPr>
        <rFont val="Montserrat"/>
        <color theme="1"/>
        <sz val="11.0"/>
      </rPr>
      <t xml:space="preserve">
</t>
    </r>
  </si>
  <si>
    <r>
      <rPr>
        <rFont val="Montserrat"/>
        <b/>
        <color rgb="FFFF0000"/>
        <sz val="11.0"/>
      </rPr>
      <t xml:space="preserve">
</t>
    </r>
    <r>
      <rPr>
        <rFont val="Montserrat"/>
        <b val="0"/>
        <color rgb="FF000000"/>
        <sz val="11.0"/>
      </rPr>
      <t xml:space="preserve">
</t>
    </r>
  </si>
  <si>
    <t>- Đòi Hợp đồng bản cứng về (03/07)
- PM scan hợp đồng (04/07)</t>
  </si>
  <si>
    <t>PENDING</t>
  </si>
  <si>
    <r>
      <rPr>
        <rFont val="Montserrat"/>
        <b/>
        <color rgb="FF0000FF"/>
        <sz val="11.0"/>
      </rPr>
      <t xml:space="preserve">
</t>
    </r>
    <r>
      <rPr>
        <rFont val="Montserrat"/>
        <b/>
        <color rgb="FFFF0000"/>
        <sz val="11.0"/>
      </rPr>
      <t>- Thanh toán đợt 1 (03/07)</t>
    </r>
    <r>
      <rPr>
        <rFont val="Montserrat"/>
        <color theme="1"/>
        <sz val="11.0"/>
      </rPr>
      <t xml:space="preserve">
- Phát hành hóa đơn chính thức Đợt 1 (101/07)</t>
    </r>
  </si>
  <si>
    <t>- BBNT (03/08 xong bản mềm, 4/08 khách hàng cf bản mềm)
- ĐNTT đợt 2 (03/08 xong bản mềm, 4/08 khách hàng cf bản mềm)
- Hóa đơn nháp đợt 2 (4/08)</t>
  </si>
  <si>
    <t>-Phát hành hóa đơn chính thức Đợt 2 (13/07)</t>
  </si>
  <si>
    <t>24/07 Thanh toán đợt 2</t>
  </si>
  <si>
    <t>Nomad 3D Đồ Sơn - Hoàng PM</t>
  </si>
  <si>
    <t xml:space="preserve">
</t>
  </si>
  <si>
    <t>- Thanh toán đợt 1 (03/07)</t>
  </si>
  <si>
    <t>- Đòi Hợp đồng bản cứng về (06/07)</t>
  </si>
  <si>
    <t xml:space="preserve"> - Hóa đơn nháp full (17/07)
- Phát hành hóa đơn chính thức (17/07)
- BBNT (13/07 xong bản mềm, 15/07 khách hàng cf bản mềm)
- ĐNTT đợt 2 (13/07 xong bản mềm, 15/07 khách hàng cf bản mềm)</t>
  </si>
  <si>
    <r>
      <rPr>
        <rFont val="Montserrat"/>
        <b/>
        <color rgb="FF0000FF"/>
      </rPr>
      <t xml:space="preserve">- </t>
    </r>
    <r>
      <rPr>
        <rFont val="Montserrat"/>
        <b/>
        <color rgb="FFFF0000"/>
      </rPr>
      <t>PENDING</t>
    </r>
    <r>
      <rPr>
        <rFont val="Montserrat"/>
        <b/>
        <color rgb="FF0000FF"/>
      </rPr>
      <t xml:space="preserve"> 
- FINAL (dự kiến 20/7, tùy thuộc vào tiến độ tạm ứng của khách hàng)</t>
    </r>
  </si>
  <si>
    <t>09/08 Thanh toán đợt 2</t>
  </si>
  <si>
    <t>The One - Hoàng PM</t>
  </si>
  <si>
    <r>
      <rPr>
        <rFont val="Montserrat"/>
        <strike/>
        <color theme="1"/>
        <sz val="11.0"/>
      </rPr>
      <t xml:space="preserve">- Phát hành hóa đơn chính thức clip 1 Đợt 2
</t>
    </r>
    <r>
      <rPr>
        <rFont val="Montserrat"/>
        <b/>
        <strike val="0"/>
        <color rgb="FF0000FF"/>
        <sz val="11.0"/>
      </rPr>
      <t xml:space="preserve">
</t>
    </r>
    <r>
      <rPr>
        <rFont val="Montserrat"/>
        <b/>
        <strike/>
        <color rgb="FFFF0000"/>
        <sz val="11.0"/>
      </rPr>
      <t>- Thanh toán đợt 1 clip 1 (29/05)</t>
    </r>
  </si>
  <si>
    <t xml:space="preserve">
</t>
  </si>
  <si>
    <r>
      <rPr>
        <rFont val="Montserrat"/>
        <strike/>
        <color theme="1"/>
        <sz val="11.0"/>
      </rPr>
      <t xml:space="preserve">
-</t>
    </r>
    <r>
      <rPr>
        <rFont val="Montserrat"/>
        <b/>
        <strike/>
        <color rgb="FF0000FF"/>
        <sz val="11.0"/>
      </rPr>
      <t xml:space="preserve"> 9/6 FINAL CLIP 1</t>
    </r>
  </si>
  <si>
    <r>
      <rPr>
        <rFont val="Montserrat"/>
        <strike/>
        <color rgb="FF000000"/>
        <sz val="11.0"/>
      </rPr>
      <t>- BBNT CLIP 1 (15/06 xong bản mềm, 17/06 khách hàng cf bản mềm)</t>
    </r>
    <r>
      <rPr>
        <rFont val="Montserrat"/>
        <color rgb="FF000000"/>
        <sz val="11.0"/>
      </rPr>
      <t xml:space="preserve">
</t>
    </r>
    <r>
      <rPr>
        <rFont val="Montserrat"/>
        <strike/>
        <color rgb="FF000000"/>
        <sz val="11.0"/>
      </rPr>
      <t>- DNTT đợt 4 15/06 xong bản mềm, 17/06 khách hàng cf bản mềm)</t>
    </r>
    <r>
      <rPr>
        <rFont val="Montserrat"/>
        <color rgb="FF000000"/>
        <sz val="11.0"/>
      </rPr>
      <t xml:space="preserve">
</t>
    </r>
  </si>
  <si>
    <r>
      <rPr>
        <rFont val="Montserrat"/>
        <color theme="1"/>
        <sz val="11.0"/>
      </rPr>
      <t xml:space="preserve">
-</t>
    </r>
    <r>
      <rPr>
        <rFont val="Montserrat"/>
        <strike/>
        <color theme="1"/>
        <sz val="11.0"/>
      </rPr>
      <t xml:space="preserve"> HĐ nháp final clip 1 (26/06)</t>
    </r>
    <r>
      <rPr>
        <rFont val="Montserrat"/>
        <color theme="1"/>
        <sz val="11.0"/>
      </rPr>
      <t xml:space="preserve">
</t>
    </r>
    <r>
      <rPr>
        <rFont val="Montserrat"/>
        <strike/>
        <color theme="1"/>
        <sz val="11.0"/>
      </rPr>
      <t>- Phát hành hóa đơn chính thức final clip 1 (26/06)</t>
    </r>
  </si>
  <si>
    <r>
      <rPr>
        <rFont val="Montserrat"/>
        <color theme="1"/>
        <sz val="11.0"/>
      </rPr>
      <t xml:space="preserve">- BBNT CLIP 2 (06/07 xong bản mềm, 08/07 khách hàng cf bản mềm)
- DNTT đợt 5 (06/07 xong bản mềm, 08/07 khách hàng cf bản mềm)
- HĐ nháp đợt 5 (08/07)
- Phát hành hóa đơn chính thức Đợt 5 (10/07)
- BBNT quay CLIP 2 (09/07 khách hàng cf bản mềm)
- DNTT đợt 4 (09/07 khách hàng cf bản mềm)
- HĐ nháp CLIP 2  (09/07)
- HĐ chính thức CLIP 1  (10/07)
</t>
    </r>
    <r>
      <rPr>
        <rFont val="Montserrat"/>
        <b/>
        <color rgb="FFFF0000"/>
        <sz val="11.0"/>
      </rPr>
      <t xml:space="preserve">
</t>
    </r>
    <r>
      <rPr>
        <rFont val="Montserrat"/>
        <b/>
        <color rgb="FF0000FF"/>
        <sz val="11.0"/>
      </rPr>
      <t>- 8/7 SHOOTING DAY 2</t>
    </r>
  </si>
  <si>
    <r>
      <rPr>
        <rFont val="Montserrat"/>
        <b/>
        <color rgb="FFFF0000"/>
        <sz val="11.0"/>
      </rPr>
      <t xml:space="preserve">
</t>
    </r>
    <r>
      <rPr>
        <rFont val="Montserrat"/>
        <b/>
        <color rgb="FF0000FF"/>
        <sz val="11.0"/>
      </rPr>
      <t xml:space="preserve">- 13/7 FINAL CLIP 2
</t>
    </r>
    <r>
      <rPr>
        <rFont val="Montserrat"/>
        <b val="0"/>
        <color rgb="FF000000"/>
        <sz val="11.0"/>
      </rPr>
      <t xml:space="preserve">- BBNT CLIP 2 (15/07 xong bản mềm, 17/07 khách hàng cf bản mềm)
- DNTT đợt 5 (15/07 xong bản mềm, 17/07 khách hàng cf bản mềm)
- HĐ nháp đợt 5 (17/07)
</t>
    </r>
    <r>
      <rPr>
        <rFont val="Montserrat"/>
        <b/>
        <color rgb="FFFF0000"/>
        <sz val="11.0"/>
      </rPr>
      <t>- Thanh toán đợt 1 clip2 (17/07)
- Thanh toán đợt 2 clip1 (13/07)</t>
    </r>
  </si>
  <si>
    <t>- Phát hành hóa đơn chính thức Đợt 5 (20/07)
- Đòi hồ sơ bản cứng (21/07)
- PM scan hồ sơ (22/07)</t>
  </si>
  <si>
    <t>- Thanh toán đợt 2 clip 2 (09/08)</t>
  </si>
  <si>
    <t>Sun - Alaso - Thuỷ PM</t>
  </si>
  <si>
    <r>
      <rPr>
        <rFont val="Montserrat"/>
        <strike/>
        <color theme="1"/>
        <sz val="11.0"/>
      </rPr>
      <t>- Hợp đồng</t>
    </r>
    <r>
      <rPr>
        <rFont val="Montserrat"/>
        <color theme="1"/>
        <sz val="11.0"/>
      </rPr>
      <t xml:space="preserve">
</t>
    </r>
  </si>
  <si>
    <r>
      <rPr>
        <rFont val="Montserrat"/>
        <color theme="1"/>
        <sz val="11.0"/>
      </rPr>
      <t>-</t>
    </r>
    <r>
      <rPr>
        <rFont val="Montserrat"/>
        <strike/>
        <color theme="1"/>
        <sz val="11.0"/>
      </rPr>
      <t xml:space="preserve"> BBNT (26/05 xong bản mềm, 29/05 khách hàng cf bản mềm)
- DNTT (26/05 xong bản mềm, 29/05 khách hàng cf bản mềm)
- NDA</t>
    </r>
  </si>
  <si>
    <t>- HĐ nháp (07/06)
- Phát hành hóa đơn chính thức full (07/06)</t>
  </si>
  <si>
    <t>Thanh toán full (10/07)</t>
  </si>
  <si>
    <t>AI - TCB</t>
  </si>
  <si>
    <r>
      <rPr>
        <rFont val="Montserrat"/>
        <strike/>
        <color theme="1"/>
        <sz val="11.0"/>
      </rPr>
      <t xml:space="preserve">- Hợp đồng 23/06
</t>
    </r>
    <r>
      <rPr>
        <rFont val="Montserrat"/>
        <b/>
        <strike/>
        <color rgb="FF4285F4"/>
        <sz val="11.0"/>
      </rPr>
      <t>- 26/06 Final</t>
    </r>
  </si>
  <si>
    <r>
      <rPr>
        <rFont val="Montserrat"/>
        <color rgb="FF000000"/>
        <sz val="11.0"/>
      </rPr>
      <t xml:space="preserve">- </t>
    </r>
    <r>
      <rPr>
        <rFont val="Montserrat"/>
        <strike/>
        <color rgb="FF000000"/>
        <sz val="11.0"/>
      </rPr>
      <t>BBNT ( 30/6 xong bản mềm, 02/07 khách hàng cf bản mềm)
- DNTT đợt 3 ( 30/6 xong bản mềm, 02/07 khách hàng cf bản mềm)
- Xuất hóa đơn (02/07)</t>
    </r>
  </si>
  <si>
    <t>21/07 thanh toán full</t>
  </si>
  <si>
    <t>HNS 5 clips - Hoàng PM</t>
  </si>
  <si>
    <t>- 24/5 TẠM ỨNG ĐỢT 1</t>
  </si>
  <si>
    <r>
      <rPr>
        <rFont val="Montserrat"/>
        <color theme="1"/>
        <sz val="11.0"/>
      </rPr>
      <t xml:space="preserve">- </t>
    </r>
    <r>
      <rPr>
        <rFont val="Montserrat"/>
        <strike/>
        <color theme="1"/>
        <sz val="11.0"/>
      </rPr>
      <t>Phát hành hóa đơn chính thức Đợt 1</t>
    </r>
    <r>
      <rPr>
        <rFont val="Montserrat"/>
        <color theme="1"/>
        <sz val="11.0"/>
      </rPr>
      <t xml:space="preserve">
</t>
    </r>
    <r>
      <rPr>
        <rFont val="Montserrat"/>
        <b/>
        <color rgb="FFFF0000"/>
        <sz val="11.0"/>
      </rPr>
      <t xml:space="preserve">
</t>
    </r>
    <r>
      <rPr>
        <rFont val="Montserrat"/>
        <color theme="1"/>
        <sz val="11.0"/>
      </rPr>
      <t xml:space="preserve">
</t>
    </r>
    <r>
      <rPr>
        <rFont val="Montserrat"/>
        <b/>
        <strike/>
        <color rgb="FF0000FF"/>
        <sz val="11.0"/>
      </rPr>
      <t>- 25-26/5:  SHOOTING</t>
    </r>
  </si>
  <si>
    <r>
      <rPr>
        <rFont val="Montserrat"/>
        <color theme="1"/>
        <sz val="11.0"/>
      </rPr>
      <t xml:space="preserve">- </t>
    </r>
    <r>
      <rPr>
        <rFont val="Montserrat"/>
        <strike/>
        <color theme="1"/>
        <sz val="11.0"/>
      </rPr>
      <t>BBNT quay (27/05 xong bản mềm)</t>
    </r>
    <r>
      <rPr>
        <rFont val="Montserrat"/>
        <color theme="1"/>
        <sz val="11.0"/>
      </rPr>
      <t xml:space="preserve">
- </t>
    </r>
    <r>
      <rPr>
        <rFont val="Montserrat"/>
        <strike/>
        <color theme="1"/>
        <sz val="11.0"/>
      </rPr>
      <t>DNTT đợt 2 (27/05 xong bản mềm</t>
    </r>
    <r>
      <rPr>
        <rFont val="Montserrat"/>
        <color theme="1"/>
        <sz val="11.0"/>
      </rPr>
      <t xml:space="preserve">)
</t>
    </r>
  </si>
  <si>
    <r>
      <rPr>
        <rFont val="Montserrat"/>
        <color theme="1"/>
        <sz val="11.0"/>
      </rPr>
      <t xml:space="preserve">- </t>
    </r>
    <r>
      <rPr>
        <rFont val="Montserrat"/>
        <strike/>
        <color theme="1"/>
        <sz val="11.0"/>
      </rPr>
      <t>BBNT quay (08/06 khách hàng cf bản mềm)</t>
    </r>
    <r>
      <rPr>
        <rFont val="Montserrat"/>
        <color theme="1"/>
        <sz val="11.0"/>
      </rPr>
      <t xml:space="preserve">
- </t>
    </r>
    <r>
      <rPr>
        <rFont val="Montserrat"/>
        <strike/>
        <color theme="1"/>
        <sz val="11.0"/>
      </rPr>
      <t>DNTT đợt 2 (08/06 khách hàng cf bản mềm)</t>
    </r>
    <r>
      <rPr>
        <rFont val="Montserrat"/>
        <color theme="1"/>
        <sz val="11.0"/>
      </rPr>
      <t xml:space="preserve">
</t>
    </r>
  </si>
  <si>
    <r>
      <rPr>
        <rFont val="Montserrat"/>
        <color theme="1"/>
        <sz val="11.0"/>
      </rPr>
      <t xml:space="preserve">
</t>
    </r>
    <r>
      <rPr>
        <rFont val="Montserrat"/>
        <strike/>
        <color theme="1"/>
        <sz val="11.0"/>
      </rPr>
      <t>- HĐ nháp đợt 2 (23/06)</t>
    </r>
    <r>
      <rPr>
        <rFont val="Montserrat"/>
        <color theme="1"/>
        <sz val="11.0"/>
      </rPr>
      <t xml:space="preserve">
</t>
    </r>
  </si>
  <si>
    <t>- Phát hành hóa đơn đợt 2 (03/07)</t>
  </si>
  <si>
    <r>
      <rPr>
        <rFont val="Montserrat"/>
        <b/>
        <color rgb="FF0000FF"/>
        <sz val="11.0"/>
      </rPr>
      <t xml:space="preserve">- PHẢI XONG CLIP 2 - 5
</t>
    </r>
    <r>
      <rPr>
        <rFont val="Montserrat"/>
        <b/>
        <color rgb="FFFF0000"/>
        <sz val="11.0"/>
      </rPr>
      <t>- 10/07 THANH TOÁN ĐỢT 2</t>
    </r>
  </si>
  <si>
    <t xml:space="preserve">
- BBNT ( 14/07 xong bản mềm, 17/07 khách hàng cf bản mềm)
- DNTT đợt 3 ( 14/07 xong bản mềm, 17/07 khách hàng cf bản mềm)
</t>
  </si>
  <si>
    <t>- HĐ nháp đợt 3 (21/07)
- Phát hành hóa đơn đợt 3 (21/07)</t>
  </si>
  <si>
    <t>- 16/08 THANH TOÁN ĐỢT 3</t>
  </si>
  <si>
    <t>VNG - Hoàng PM</t>
  </si>
  <si>
    <t>Thanh toán full (10/06)</t>
  </si>
  <si>
    <t>May10 - Thái PM</t>
  </si>
  <si>
    <r>
      <rPr>
        <rFont val="Montserrat"/>
        <strike/>
        <color theme="1"/>
        <sz val="11.0"/>
      </rPr>
      <t>- Hợp đồng</t>
    </r>
    <r>
      <rPr>
        <rFont val="Montserrat"/>
        <color theme="1"/>
        <sz val="11.0"/>
      </rPr>
      <t xml:space="preserve">
</t>
    </r>
    <r>
      <rPr>
        <rFont val="Montserrat"/>
        <strike/>
        <color theme="1"/>
        <sz val="11.0"/>
      </rPr>
      <t>- ĐNTT</t>
    </r>
    <r>
      <rPr>
        <rFont val="Montserrat"/>
        <color theme="1"/>
        <sz val="11.0"/>
      </rPr>
      <t xml:space="preserve">
</t>
    </r>
  </si>
  <si>
    <r>
      <rPr>
        <rFont val="Montserrat"/>
        <b val="0"/>
        <strike/>
        <color rgb="FF000000"/>
        <sz val="11.0"/>
      </rPr>
      <t>- Hóa đơn nháp đợt 1 (05/06)</t>
    </r>
    <r>
      <rPr>
        <rFont val="Montserrat"/>
        <b val="0"/>
        <color rgb="FF000000"/>
        <sz val="11.0"/>
      </rPr>
      <t xml:space="preserve">
</t>
    </r>
    <r>
      <rPr>
        <rFont val="Montserrat"/>
        <b val="0"/>
        <strike/>
        <color rgb="FF000000"/>
        <sz val="11.0"/>
      </rPr>
      <t>- Phát hành hóa đơn đợt 1 (05/06)</t>
    </r>
  </si>
  <si>
    <t>Thanh toán đợt 1 clip 1 (12/06)</t>
  </si>
  <si>
    <r>
      <rPr>
        <rFont val="Montserrat"/>
        <b/>
        <color rgb="FF0000FF"/>
        <sz val="11.0"/>
      </rPr>
      <t xml:space="preserve">
</t>
    </r>
    <r>
      <rPr>
        <rFont val="Montserrat"/>
        <b val="0"/>
        <color rgb="FF000000"/>
        <sz val="11.0"/>
      </rPr>
      <t xml:space="preserve">- BBNT (02/07 xong bản mềm, 06/07 khách hàng cf bản mềm)
- ĐNTT (02/07 xong bản mềm, 06/07 khách hàng cf bản mềm)
</t>
    </r>
  </si>
  <si>
    <r>
      <rPr>
        <rFont val="Montserrat"/>
        <b/>
        <color rgb="FFFF0000"/>
        <sz val="11.0"/>
      </rPr>
      <t xml:space="preserve">
</t>
    </r>
    <r>
      <rPr>
        <rFont val="Montserrat"/>
        <b val="0"/>
        <color rgb="FF000000"/>
        <sz val="11.0"/>
      </rPr>
      <t xml:space="preserve">- Hóa đơn nháp đợt 2 (07/07)
- Phát hành hóa đơn đợt 2 (07/07)
</t>
    </r>
    <r>
      <rPr>
        <rFont val="Montserrat"/>
        <b/>
        <color rgb="FF0000FF"/>
        <sz val="11.0"/>
      </rPr>
      <t>- SHOOTING</t>
    </r>
  </si>
  <si>
    <t>19/7 Final</t>
  </si>
  <si>
    <t>- Thanh toán đợt cuối clip 1 (20/07)</t>
  </si>
  <si>
    <t>Hateco - Hoàng PM</t>
  </si>
  <si>
    <r>
      <rPr>
        <rFont val="Montserrat"/>
        <color theme="1"/>
        <sz val="11.0"/>
      </rPr>
      <t>HNS bộ ảnh lifestyle - Huyền PM -</t>
    </r>
    <r>
      <rPr>
        <rFont val="Montserrat"/>
        <color rgb="FF5B0F00"/>
        <sz val="11.0"/>
      </rPr>
      <t xml:space="preserve"> PENDING</t>
    </r>
  </si>
  <si>
    <t>- Làm HĐ bản mềm (10/06)
- Gửi khách hàng check bản mềm (11/06)</t>
  </si>
  <si>
    <t xml:space="preserve">- Khách hàng cf hồ sơ tạm ứng bản mềm (16/06)
</t>
  </si>
  <si>
    <t>- 29/06 Thanh toán đợt 1</t>
  </si>
  <si>
    <t>CÒN LẠI</t>
  </si>
  <si>
    <t>08/09-14/06</t>
  </si>
  <si>
    <t>STT</t>
  </si>
  <si>
    <t>Thu</t>
  </si>
  <si>
    <t>Nomad Teaser Đồ Sơn Đợt 1 (50%)</t>
  </si>
  <si>
    <t>30% Đợt 3 Global</t>
  </si>
  <si>
    <t>30% Nomad 3D Đồ Sơn (Đợt 1)</t>
  </si>
  <si>
    <t>30% The One 03/2026 đợt 1 - video 2</t>
  </si>
  <si>
    <t>30% The One 03/2026 đợt 1 - video 1</t>
  </si>
  <si>
    <t>20% The One 03/2026 đợt 2 - video 1</t>
  </si>
  <si>
    <t>Nomad Teaser Đồ Sơn Đợt 2 (50%)</t>
  </si>
  <si>
    <t>100% VNG 2026</t>
  </si>
  <si>
    <t>PLHĐ Global</t>
  </si>
  <si>
    <t>Tạm ứng Đợt 1 job May10 (clip1)</t>
  </si>
  <si>
    <t>40% HNS 5 clips Đợt 1</t>
  </si>
  <si>
    <t>70% Nomad 3D Đồ Sơn (Đợt 2)</t>
  </si>
  <si>
    <t>30% HNS 5 clips Đợt 2</t>
  </si>
  <si>
    <t>30% HNS 5 clips Đợt 3</t>
  </si>
  <si>
    <t>100% Sun</t>
  </si>
  <si>
    <t>40% trước thuế HNS - Shooting</t>
  </si>
  <si>
    <t>Tạm ứng Đợt 2 job May10 (clip1)</t>
  </si>
  <si>
    <t>20% The One 03/2026 đợt 2 - video 2</t>
  </si>
  <si>
    <t>40% job 1 mới tháng 6 (Đợt 1) - 703,5M</t>
  </si>
  <si>
    <t>50% job 2 mới tháng 6 (Đợt 1) - 571M</t>
  </si>
  <si>
    <t>30% job 1 mới tháng 6 (Đợt 2) - 703,5M</t>
  </si>
  <si>
    <t>40% job mới tháng 7 (Đợt 1) - 469M</t>
  </si>
  <si>
    <t>30% job 2 mới tháng 6 (Đợt 2) - 571M</t>
  </si>
  <si>
    <t>30% job 1 mới tháng 6 (Đợt 3) - 703,5M</t>
  </si>
  <si>
    <t>30% job mới tháng 7 (Đợt 2) - 469M</t>
  </si>
  <si>
    <t>20% job 2 mới tháng 6 (Đợt 3) - 571M</t>
  </si>
  <si>
    <t>40% job mới tháng 8 (Đợt 1) - 480M</t>
  </si>
  <si>
    <t>40% job mới tháng 9 (Đợt 1) - 450M</t>
  </si>
  <si>
    <t>40% job mới tháng 7 (Đợt 3) - 469M</t>
  </si>
  <si>
    <t>30% job mới tháng 9 (Đợt 2) - 450M</t>
  </si>
  <si>
    <t>30% job mới tháng 8 (Đợt 2) - 480M</t>
  </si>
  <si>
    <t>40% job mới tháng 8 (Đợt 3) - 480M</t>
  </si>
  <si>
    <t>40% job mới tháng 10 (Đợt 1) - 450M</t>
  </si>
  <si>
    <t>40% job mới tháng 9 (Đợt 3) - 450M</t>
  </si>
  <si>
    <t>30% job mới tháng 10 (Đợt 2) - 450M</t>
  </si>
  <si>
    <t>30% job mới tháng 10 (Đợt 3) - 450M</t>
  </si>
  <si>
    <t>40% job mới 1 tháng 11 (Đợt 1) - 450M</t>
  </si>
  <si>
    <t>40% job mới 2 tháng 11 (Đợt 1) - 450M</t>
  </si>
  <si>
    <t>30% job mới 1 tháng 11 (Đợt 2) - 450M</t>
  </si>
  <si>
    <t>30% job mới 2 tháng 11 (Đợt 2) - 450M</t>
  </si>
  <si>
    <t>30% job mới 1 tháng 11 (Đợt 3) - 450M</t>
  </si>
  <si>
    <t xml:space="preserve">TỔNG DOANH THU DỰ PHÓNG THEO TỪNG THÁNG </t>
  </si>
  <si>
    <t>TỔNG DOANH THU DỰ PHÓNG THEO GIAI ĐOẠN</t>
  </si>
  <si>
    <t>Chi</t>
  </si>
  <si>
    <t>Quyết toán hết job APL</t>
  </si>
  <si>
    <t>Quyết toán hết GLB</t>
  </si>
  <si>
    <t>Hoàn tiền VNG cho khách</t>
  </si>
  <si>
    <t>Quyết toán hết job VNG</t>
  </si>
  <si>
    <t>Quyết toán hết job HNS (diễn viên)</t>
  </si>
  <si>
    <t>Tạm ứng đợt 1 cho anh Tùng 3D</t>
  </si>
  <si>
    <t>HH job VNG</t>
  </si>
  <si>
    <t>Tạm ứng job May10</t>
  </si>
  <si>
    <t>Quyết toán hết job Nomad Teaser Đồ Sơn</t>
  </si>
  <si>
    <t>Quyết toán hết job Nomad 3D Đồ Sơn</t>
  </si>
  <si>
    <t>Quyết toán hết job HNS (trừ công nợ TL)</t>
  </si>
  <si>
    <t>Quyết toán hết job May10</t>
  </si>
  <si>
    <t>Quyết toán hết job The One</t>
  </si>
  <si>
    <t>TT công nợ TL job HNS</t>
  </si>
  <si>
    <t>Com May10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</si>
</sst>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FF0000"/>
      <name val="Montserrat"/>
    </font>
    <font>
      <color theme="1"/>
      <name val="Arial"/>
      <scheme val="minor"/>
    </font>
    <font>
      <b/>
      <sz val="11.0"/>
      <color rgb="FFFFFFFF"/>
      <name val="Montserrat"/>
    </font>
    <font>
      <b/>
      <sz val="8.0"/>
      <color theme="1"/>
      <name val="Montserrat"/>
    </font>
    <font>
      <b/>
      <color theme="1"/>
      <name val="Montserrat"/>
    </font>
    <font>
      <sz val="11.0"/>
      <color theme="1"/>
      <name val="Montserrat"/>
    </font>
    <font>
      <strike/>
      <sz val="11.0"/>
      <color theme="1"/>
      <name val="Montserrat"/>
    </font>
    <font>
      <sz val="11.0"/>
      <color rgb="FF000000"/>
      <name val="Montserrat"/>
    </font>
    <font>
      <b/>
      <sz val="11.0"/>
      <color rgb="FF0000FF"/>
      <name val="Montserrat"/>
    </font>
    <font>
      <color theme="1"/>
      <name val="Arial"/>
    </font>
    <font>
      <color rgb="FF000000"/>
      <name val="Montserrat"/>
    </font>
    <font>
      <b/>
      <color rgb="FF0000FF"/>
      <name val="Montserrat"/>
    </font>
    <font>
      <b/>
      <strike/>
      <sz val="11.0"/>
      <color rgb="FFFF0000"/>
      <name val="Montserrat"/>
    </font>
    <font>
      <b/>
      <sz val="11.0"/>
      <color theme="1"/>
      <name val="Montserrat"/>
    </font>
    <font/>
    <font>
      <color rgb="FFFF0000"/>
      <name val="Montserrat"/>
    </font>
    <font>
      <b/>
      <color rgb="FFFF0000"/>
      <name val="Montserrat"/>
    </font>
    <font>
      <b/>
      <sz val="14.0"/>
      <color rgb="FFFF0000"/>
      <name val="Montserrat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2" fontId="4" numFmtId="3" xfId="0" applyAlignment="1" applyFill="1" applyFont="1" applyNumberFormat="1">
      <alignment horizontal="center" shrinkToFit="0" vertical="center" wrapText="1"/>
    </xf>
    <xf borderId="0" fillId="3" fontId="5" numFmtId="3" xfId="0" applyAlignment="1" applyFill="1" applyFont="1" applyNumberFormat="1">
      <alignment horizontal="center" shrinkToFit="0" vertical="center" wrapText="1"/>
    </xf>
    <xf borderId="0" fillId="3" fontId="3" numFmtId="0" xfId="0" applyAlignment="1" applyFont="1">
      <alignment horizontal="left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1" fillId="0" fontId="6" numFmtId="3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5" fontId="6" numFmtId="0" xfId="0" applyAlignment="1" applyBorder="1" applyFill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6" fontId="6" numFmtId="0" xfId="0" applyAlignment="1" applyBorder="1" applyFill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1" fillId="0" fontId="6" numFmtId="3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vertical="center"/>
    </xf>
    <xf borderId="1" fillId="4" fontId="6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14" numFmtId="3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2" fillId="7" fontId="14" numFmtId="3" xfId="0" applyAlignment="1" applyBorder="1" applyFill="1" applyFont="1" applyNumberFormat="1">
      <alignment horizontal="center" readingOrder="0" vertical="center"/>
    </xf>
    <xf borderId="3" fillId="0" fontId="15" numFmtId="0" xfId="0" applyBorder="1" applyFont="1"/>
    <xf borderId="1" fillId="7" fontId="14" numFmtId="3" xfId="0" applyAlignment="1" applyBorder="1" applyFont="1" applyNumberFormat="1">
      <alignment horizontal="center" vertical="center"/>
    </xf>
    <xf borderId="0" fillId="7" fontId="14" numFmtId="0" xfId="0" applyAlignment="1" applyFont="1">
      <alignment horizontal="center" vertical="center"/>
    </xf>
    <xf borderId="1" fillId="0" fontId="14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1" fillId="8" fontId="14" numFmtId="0" xfId="0" applyAlignment="1" applyBorder="1" applyFill="1" applyFont="1">
      <alignment horizontal="center" vertical="center"/>
    </xf>
    <xf borderId="1" fillId="8" fontId="14" numFmtId="0" xfId="0" applyAlignment="1" applyBorder="1" applyFont="1">
      <alignment horizontal="center" shrinkToFit="0" vertical="center" wrapText="1"/>
    </xf>
    <xf borderId="1" fillId="8" fontId="14" numFmtId="3" xfId="0" applyAlignment="1" applyBorder="1" applyFont="1" applyNumberFormat="1">
      <alignment horizontal="center" vertical="center"/>
    </xf>
    <xf borderId="0" fillId="8" fontId="14" numFmtId="3" xfId="0" applyAlignment="1" applyFont="1" applyNumberFormat="1">
      <alignment horizontal="center" vertical="center"/>
    </xf>
    <xf borderId="1" fillId="9" fontId="6" numFmtId="0" xfId="0" applyAlignment="1" applyBorder="1" applyFill="1" applyFont="1">
      <alignment horizontal="center" vertical="center"/>
    </xf>
    <xf borderId="1" fillId="9" fontId="6" numFmtId="0" xfId="0" applyAlignment="1" applyBorder="1" applyFont="1">
      <alignment shrinkToFit="0" vertical="center" wrapText="1"/>
    </xf>
    <xf borderId="1" fillId="0" fontId="6" numFmtId="3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6" numFmtId="3" xfId="0" applyAlignment="1" applyBorder="1" applyFont="1" applyNumberFormat="1">
      <alignment horizontal="right" vertical="center"/>
    </xf>
    <xf borderId="0" fillId="0" fontId="6" numFmtId="3" xfId="0" applyAlignment="1" applyFont="1" applyNumberFormat="1">
      <alignment vertical="center"/>
    </xf>
    <xf borderId="1" fillId="9" fontId="6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readingOrder="0" shrinkToFit="0" vertical="center" wrapText="1"/>
    </xf>
    <xf borderId="1" fillId="0" fontId="6" numFmtId="3" xfId="0" applyAlignment="1" applyBorder="1" applyFont="1" applyNumberFormat="1">
      <alignment readingOrder="0" vertical="center"/>
    </xf>
    <xf borderId="1" fillId="0" fontId="6" numFmtId="3" xfId="0" applyAlignment="1" applyBorder="1" applyFont="1" applyNumberFormat="1">
      <alignment horizontal="right" readingOrder="0" vertical="center"/>
    </xf>
    <xf borderId="1" fillId="5" fontId="1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" fillId="0" fontId="16" numFmtId="3" xfId="0" applyAlignment="1" applyBorder="1" applyFont="1" applyNumberFormat="1">
      <alignment horizontal="right" vertical="center"/>
    </xf>
    <xf borderId="3" fillId="5" fontId="16" numFmtId="3" xfId="0" applyAlignment="1" applyBorder="1" applyFont="1" applyNumberFormat="1">
      <alignment horizontal="right" vertical="center"/>
    </xf>
    <xf borderId="1" fillId="0" fontId="10" numFmtId="3" xfId="0" applyAlignment="1" applyBorder="1" applyFont="1" applyNumberFormat="1">
      <alignment vertical="center"/>
    </xf>
    <xf borderId="2" fillId="0" fontId="10" numFmtId="3" xfId="0" applyAlignment="1" applyBorder="1" applyFont="1" applyNumberFormat="1">
      <alignment vertical="center"/>
    </xf>
    <xf borderId="0" fillId="0" fontId="10" numFmtId="3" xfId="0" applyAlignment="1" applyFont="1" applyNumberFormat="1">
      <alignment vertical="center"/>
    </xf>
    <xf borderId="1" fillId="6" fontId="1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3" fillId="0" fontId="10" numFmtId="3" xfId="0" applyAlignment="1" applyBorder="1" applyFont="1" applyNumberFormat="1">
      <alignment vertical="center"/>
    </xf>
    <xf borderId="1" fillId="6" fontId="16" numFmtId="3" xfId="0" applyAlignment="1" applyBorder="1" applyFont="1" applyNumberFormat="1">
      <alignment horizontal="right" vertical="center"/>
    </xf>
    <xf borderId="1" fillId="5" fontId="16" numFmtId="3" xfId="0" applyAlignment="1" applyBorder="1" applyFont="1" applyNumberFormat="1">
      <alignment horizontal="right" vertical="center"/>
    </xf>
    <xf borderId="1" fillId="10" fontId="16" numFmtId="0" xfId="0" applyAlignment="1" applyBorder="1" applyFill="1" applyFont="1">
      <alignment shrinkToFit="0" vertical="center" wrapText="1"/>
    </xf>
    <xf borderId="1" fillId="10" fontId="16" numFmtId="3" xfId="0" applyAlignment="1" applyBorder="1" applyFont="1" applyNumberFormat="1">
      <alignment horizontal="right" vertical="center"/>
    </xf>
    <xf borderId="1" fillId="4" fontId="16" numFmtId="0" xfId="0" applyAlignment="1" applyBorder="1" applyFont="1">
      <alignment shrinkToFit="0" vertical="center" wrapText="1"/>
    </xf>
    <xf borderId="1" fillId="4" fontId="16" numFmtId="3" xfId="0" applyAlignment="1" applyBorder="1" applyFont="1" applyNumberFormat="1">
      <alignment horizontal="right" vertical="center"/>
    </xf>
    <xf borderId="1" fillId="11" fontId="16" numFmtId="0" xfId="0" applyAlignment="1" applyBorder="1" applyFill="1" applyFont="1">
      <alignment shrinkToFit="0" vertical="center" wrapText="1"/>
    </xf>
    <xf borderId="1" fillId="11" fontId="16" numFmtId="3" xfId="0" applyAlignment="1" applyBorder="1" applyFont="1" applyNumberFormat="1">
      <alignment horizontal="right" vertical="center"/>
    </xf>
    <xf borderId="1" fillId="12" fontId="16" numFmtId="0" xfId="0" applyAlignment="1" applyBorder="1" applyFill="1" applyFont="1">
      <alignment shrinkToFit="0" vertical="center" wrapText="1"/>
    </xf>
    <xf borderId="1" fillId="13" fontId="16" numFmtId="3" xfId="0" applyAlignment="1" applyBorder="1" applyFill="1" applyFont="1" applyNumberFormat="1">
      <alignment horizontal="right" vertical="center"/>
    </xf>
    <xf borderId="1" fillId="13" fontId="16" numFmtId="0" xfId="0" applyAlignment="1" applyBorder="1" applyFont="1">
      <alignment shrinkToFit="0" vertical="center" wrapText="1"/>
    </xf>
    <xf borderId="1" fillId="14" fontId="16" numFmtId="0" xfId="0" applyAlignment="1" applyBorder="1" applyFill="1" applyFont="1">
      <alignment shrinkToFit="0" vertical="center" wrapText="1"/>
    </xf>
    <xf borderId="0" fillId="13" fontId="16" numFmtId="3" xfId="0" applyAlignment="1" applyFont="1" applyNumberFormat="1">
      <alignment horizontal="right" vertical="center"/>
    </xf>
    <xf borderId="1" fillId="9" fontId="1" numFmtId="0" xfId="0" applyAlignment="1" applyBorder="1" applyFont="1">
      <alignment horizontal="center" shrinkToFit="0" vertical="center" wrapText="1"/>
    </xf>
    <xf borderId="2" fillId="0" fontId="17" numFmtId="3" xfId="0" applyAlignment="1" applyBorder="1" applyFont="1" applyNumberFormat="1">
      <alignment horizontal="center" readingOrder="0" vertical="center"/>
    </xf>
    <xf borderId="0" fillId="0" fontId="17" numFmtId="3" xfId="0" applyAlignment="1" applyFont="1" applyNumberFormat="1">
      <alignment horizontal="center" readingOrder="0" vertical="center"/>
    </xf>
    <xf borderId="2" fillId="0" fontId="18" numFmtId="3" xfId="0" applyAlignment="1" applyBorder="1" applyFont="1" applyNumberFormat="1">
      <alignment horizontal="center" vertical="center"/>
    </xf>
    <xf borderId="2" fillId="9" fontId="1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0" fillId="0" fontId="18" numFmtId="3" xfId="0" applyAlignment="1" applyFont="1" applyNumberFormat="1">
      <alignment horizontal="center" vertical="center"/>
    </xf>
    <xf borderId="1" fillId="2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vertical="center"/>
    </xf>
    <xf borderId="1" fillId="2" fontId="14" numFmtId="3" xfId="0" applyAlignment="1" applyBorder="1" applyFont="1" applyNumberFormat="1">
      <alignment vertical="center"/>
    </xf>
    <xf borderId="1" fillId="2" fontId="14" numFmtId="0" xfId="0" applyAlignment="1" applyBorder="1" applyFont="1">
      <alignment vertical="center"/>
    </xf>
    <xf borderId="0" fillId="2" fontId="14" numFmtId="0" xfId="0" applyAlignment="1" applyFont="1">
      <alignment vertical="center"/>
    </xf>
    <xf borderId="1" fillId="0" fontId="6" numFmtId="0" xfId="0" applyAlignment="1" applyBorder="1" applyFont="1">
      <alignment horizontal="center" readingOrder="0" vertical="center"/>
    </xf>
    <xf borderId="1" fillId="15" fontId="6" numFmtId="3" xfId="0" applyAlignment="1" applyBorder="1" applyFill="1" applyFont="1" applyNumberFormat="1">
      <alignment readingOrder="0" vertical="center"/>
    </xf>
    <xf borderId="1" fillId="0" fontId="6" numFmtId="0" xfId="0" applyAlignment="1" applyBorder="1" applyFont="1">
      <alignment readingOrder="0" vertical="center"/>
    </xf>
    <xf borderId="1" fillId="16" fontId="6" numFmtId="3" xfId="0" applyAlignment="1" applyBorder="1" applyFill="1" applyFont="1" applyNumberFormat="1">
      <alignment readingOrder="0" vertical="center"/>
    </xf>
    <xf borderId="1" fillId="17" fontId="6" numFmtId="0" xfId="0" applyAlignment="1" applyBorder="1" applyFill="1" applyFont="1">
      <alignment readingOrder="0" vertical="center"/>
    </xf>
    <xf borderId="1" fillId="17" fontId="6" numFmtId="3" xfId="0" applyAlignment="1" applyBorder="1" applyFont="1" applyNumberFormat="1">
      <alignment readingOrder="0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ukick Kế toán" id="{35d15909-f2c1-4fb5-bbb8-996b79bbe613}" providerId="google-sheets"/>
  <x18tc:person displayName="Phạm Nhật Phương" id="{701abec7-3bec-4305-b232-a657c5ec037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6-05-22T04:45:28.00" personId="{701abec7-3bec-4305-b232-a657c5ec037b}" id="{ecb34f84-d350-4389-98e5-25edf2c963ac}" done="1">
    <x18tc:text xml:space="preserve">NGÀY CỤ THỂ ĐÂU?</x18tc:text>
  </x18tc:threadedComment>
  <x18tc:threadedComment ref="B9" dT="2026-05-22T03:14:26.00" personId="{701abec7-3bec-4305-b232-a657c5ec037b}" id="{034bd94a-38c2-4ec2-9886-eaffd0b17861}" done="1">
    <x18tc:text xml:space="preserve">tại sao ko ai điền ngày thanh toán</x18tc:text>
  </x18tc:threadedComment>
  <x18tc:threadedComment ref="B64" dT="2026-05-14T08:16:41.00" personId="{701abec7-3bec-4305-b232-a657c5ec037b}" id="{349e9b6c-0659-4de7-b486-3189baa6d913}" done="1">
    <x18tc:text xml:space="preserve">THIẾU khoản chi com cho HNS 3 clip</x18tc:text>
  </x18tc:threadedComment>
  <x18tc:threadedComment ref="B64" dT="2026-05-14T08:24:37.00" personId="{35d15909-f2c1-4fb5-bbb8-996b79bbe613}" id="{66e9b96e-ca16-40e3-a0a8-80c1051ab01d}" parentId="{349e9b6c-0659-4de7-b486-3189baa6d913}">
    <x18tc:text xml:space="preserve">Em đã bổ sung ạ</x18tc:text>
  </x18tc:threadedComment>
  <x18tc:threadedComment ref="L36" dT="2026-06-24T07:50:02.00" personId="{701abec7-3bec-4305-b232-a657c5ec037b}" id="{5cf0b360-bafb-415a-8c99-c2150cef9e2b}" done="0">
    <x18tc:text xml:space="preserve">toàn bộ phần dự phóng đang sai với file quản trị tổng này Yến</x18tc:text>
  </x18tc:threadedComment>
  <x18tc:threadedComment ref="E6" dT="2026-05-20T07:42:02.00" personId="{701abec7-3bec-4305-b232-a657c5ec037b}" id="{ebe3ec6b-8d1a-4b60-824e-9c31e2f25fd9}" done="1">
    <x18tc:text xml:space="preserve">NDA?</x18tc:text>
  </x18tc:threadedComment>
  <x18tc:threadedComment ref="E6" dT="2026-05-20T07:44:12.00" personId="{35d15909-f2c1-4fb5-bbb8-996b79bbe613}" id="{ab35e553-b6bd-400f-b6e7-a3c0a54110a8}" parentId="{ebe3ec6b-8d1a-4b60-824e-9c31e2f25fd9}">
    <x18tc:text xml:space="preserve">Em đã sửa ạ</x18tc:text>
  </x18tc:threadedComment>
  <x18tc:threadedComment ref="J10" dT="2026-05-22T04:45:33.00" personId="{701abec7-3bec-4305-b232-a657c5ec037b}" id="{f3db1f01-6ce4-4413-a420-00f9202f627d}" done="1">
    <x18tc:text xml:space="preserve">NGÀY CỤ THỂ ĐÂU?</x18tc:text>
  </x18tc:threadedComment>
  <x18tc:threadedComment ref="C14" dT="2026-05-14T08:17:28.00" personId="{701abec7-3bec-4305-b232-a657c5ec037b}" id="{1dfa711e-9719-4742-9920-fadce4cbe56c}" done="1">
    <x18tc:text xml:space="preserve">thiếu dòng này rồi</x18tc:text>
  </x18tc:threadedComment>
  <x18tc:threadedComment ref="C14" dT="2026-05-14T08:24:47.00" personId="{35d15909-f2c1-4fb5-bbb8-996b79bbe613}" id="{b15b5cf3-9f16-4294-b3a1-12d5889dcac9}" parentId="{1dfa711e-9719-4742-9920-fadce4cbe56c}">
    <x18tc:text xml:space="preserve">Em đã bổ sung ạ</x18tc:text>
  </x18tc:threadedComment>
  <x18tc:threadedComment ref="B6" dT="2026-06-24T07:50:47.00" personId="{701abec7-3bec-4305-b232-a657c5ec037b}" id="{593cc2e5-b8e4-428d-8361-1bc07c0f1746}" done="1">
    <x18tc:text xml:space="preserve">add thêm job ký hộ AI TCB</x18tc:text>
  </x18tc:threadedComment>
  <x18tc:threadedComment ref="B6" dT="2026-06-24T09:31:42.00" personId="{35d15909-f2c1-4fb5-bbb8-996b79bbe613}" id="{bad5951c-fa0a-41c7-8812-672d62965e01}" parentId="{593cc2e5-b8e4-428d-8361-1bc07c0f1746}">
    <x18tc:text xml:space="preserve">em đã thêm ạ</x18tc:text>
  </x18tc:threadedComment>
  <x18tc:threadedComment ref="A14" dT="2026-05-25T04:10:18.00" personId="{701abec7-3bec-4305-b232-a657c5ec037b}" id="{0316c562-7c86-4473-a38a-7b9feebf9cd3}" done="1">
    <x18tc:text xml:space="preserve">add thêm DỰ PHÓNG DOANH THU VÀO ĐÂY Yến ơi</x18tc:text>
  </x18tc:threadedComment>
  <x18tc:threadedComment ref="G8" dT="2026-06-01T07:11:01.00" personId="{701abec7-3bec-4305-b232-a657c5ec037b}" id="{32bc888f-5b68-4a6d-8622-0f500ac1e9d8}" done="1">
    <x18tc:text xml:space="preserve">tuần này phải ốp hoá đơn đợt 2 đi chứ, để sang 1 tuần nữa làm gì</x18tc:text>
  </x18tc:threadedComment>
  <x18tc:threadedComment ref="G8" dT="2026-06-01T09:00:57.00" personId="{35d15909-f2c1-4fb5-bbb8-996b79bbe613}" id="{a3a6e0a3-47bb-47f8-beea-cbbda4b2c9e2}" parentId="{32bc888f-5b68-4a6d-8622-0f500ac1e9d8}">
    <x18tc:text xml:space="preserve">Em đã sửa ạ</x18tc:text>
  </x18tc:threadedComment>
  <x18tc:threadedComment ref="E3" dT="2026-05-20T07:42:19.00" personId="{701abec7-3bec-4305-b232-a657c5ec037b}" id="{7311db15-d1b5-438c-937a-776a807f0790}" done="1">
    <x18tc:text xml:space="preserve">những cái gì đã xong em gạch ngang</x18tc:text>
  </x18tc:threadedComment>
  <x18tc:threadedComment ref="N7" dT="2026-07-01T07:30:45.00" personId="{701abec7-3bec-4305-b232-a657c5ec037b}" id="{c874b665-f3fb-4d99-af39-66eca65a6a29}" done="0">
    <x18tc:text xml:space="preserve">Yến ơi sao thanh toán lâu vậy, phải thanh toán vào tuần 13-19/7 chứ</x18tc:text>
  </x18tc:threadedComment>
  <x18tc:threadedComment ref="N7" dT="2026-07-02T03:34:55.00" personId="{35d15909-f2c1-4fb5-bbb8-996b79bbe613}" id="{5905c275-d81d-4f4c-905c-f7feca0ef8c8}" parentId="{c874b665-f3fb-4d99-af39-66eca65a6a29}">
    <x18tc:text xml:space="preserve">Bên này là thanh toán trong vòng 15 ngày làm việc chị ạ. Nên phải đến 20-21/7 là thời gian chậm nhất đc thanh toán ạ</x18tc:text>
  </x18tc:threadedComment>
  <x18tc:threadedComment ref="A2" dT="2026-05-20T07:42:27.00" personId="{701abec7-3bec-4305-b232-a657c5ec037b}" id="{02f868f9-1f69-46fb-9771-bcaf0b5fca32}" done="1">
    <x18tc:text xml:space="preserve">toàn bộ các job THIẾU NGÀY THANH TOÁN TỪNG ĐỢT - ngày này bôi đỏ, bold</x18tc:text>
  </x18tc:threadedComment>
  <x18tc:threadedComment ref="A2" dT="2026-05-15T08:39:22.00" personId="{701abec7-3bec-4305-b232-a657c5ec037b}" id="{f3236f87-c0f3-42c2-812e-2d0747dab911}" done="1">
    <x18tc:text xml:space="preserve">em bổ sung 1 cụm cho CHỨNG TỪ, cần cực kỳ chi tiết để kiểm soát được toàn bộ khâu này</x18tc:text>
  </x18tc:threadedComment>
  <x18tc:threadedComment ref="K5" dT="2026-07-01T07:29:33.00" personId="{701abec7-3bec-4305-b232-a657c5ec037b}" id="{891807d5-6794-47a1-9e71-d218b96537fb}" done="0">
    <x18tc:text xml:space="preserve">YẾN ới giục thanh toán đi</x18tc:text>
  </x18tc:threadedComment>
  <x18tc:threadedComment ref="F64" dT="2026-06-01T07:13:31.00" personId="{701abec7-3bec-4305-b232-a657c5ec037b}" id="{f89c9d60-69f4-4521-9381-74fd4b00f045}" done="1">
    <x18tc:text xml:space="preserve">các khoản nào đã thanh toán thì bôi ghi</x18tc:text>
  </x18tc:threadedComment>
  <x18tc:threadedComment ref="T3" dT="2026-07-01T07:35:49.00" personId="{701abec7-3bec-4305-b232-a657c5ec037b}" id="{0a7b273a-4117-45d8-907b-ba7febad9979}" done="0">
    <x18tc:text xml:space="preserve">YẾN: TOÀN BỘ JOB BỔ SUNG 2 VIỆC
- khách gửi lại bản cứng
- Kế toán lưu bản scan full bộ chứng từ vào drive</x18tc:text>
  </x18tc:threadedComment>
  <x18tc:threadedComment ref="T3" dT="2026-07-01T08:05:50.00" personId="{35d15909-f2c1-4fb5-bbb8-996b79bbe613}" id="{d1f5c9b9-7317-4bd0-8b72-161adc9621eb}" parentId="{0a7b273a-4117-45d8-907b-ba7febad9979}">
    <x18tc:text xml:space="preserve">PM là người nhận bản cứng thì em nghĩ các bạn scan và đẩy lên folder luôn chị ạ</x18tc:text>
  </x18tc:threadedComment>
  <x18tc:threadedComment ref="B6" dT="2026-06-09T04:44:49.00" personId="{701abec7-3bec-4305-b232-a657c5ec037b}" id="{d7a7bc09-ede7-4bb3-b2d7-3f9eccf264ab}" done="1">
    <x18tc:text xml:space="preserve">màu này là job ký hộ</x18tc:text>
  </x18tc:threadedComment>
  <x18tc:threadedComment ref="F69" dT="2026-06-01T07:15:45.00" personId="{701abec7-3bec-4305-b232-a657c5ec037b}" id="{48a723c2-f08c-457f-90c1-10f3fbe7c610}" done="1">
    <x18tc:text xml:space="preserve">check theo cmt của chị bên sheet quản trị</x18tc:text>
  </x18tc:threadedComment>
  <x18tc:threadedComment ref="B5" dT="2026-07-01T07:36:54.00" personId="{701abec7-3bec-4305-b232-a657c5ec037b}" id="{488f5609-ea65-4dfc-8a00-1fabaa3dbbe2}" done="0">
    <x18tc:text xml:space="preserve">HOÀNG HỨA LÀ 13/7 FINAL CLIP 2</x18tc:text>
  </x18tc:threadedComment>
  <x18tc:threadedComment ref="F65" dT="2026-06-01T07:13:45.00" personId="{701abec7-3bec-4305-b232-a657c5ec037b}" id="{5fe81d25-4f2d-4dd0-a9dc-64a8c4ee11fd}" done="1">
    <x18tc:text xml:space="preserve">sửa theo comment của c trong file tài chính</x18tc:text>
  </x18tc:threadedComment>
  <x18tc:threadedComment ref="F3" dT="2026-05-20T07:45:37.00" personId="{701abec7-3bec-4305-b232-a657c5ec037b}" id="{5a3851f9-03c0-4b37-9e0f-2f5868f8b619}" done="1">
    <x18tc:text xml:space="preserve">trong từng ô này, em ghi ngày cụ thể của công việc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7.13"/>
    <col customWidth="1" min="2" max="2" width="35.75"/>
    <col customWidth="1" hidden="1" min="3" max="8" width="17.0"/>
    <col customWidth="1" min="9" max="9" width="28.63"/>
    <col customWidth="1" min="10" max="10" width="17.0"/>
    <col customWidth="1" min="11" max="11" width="22.75"/>
    <col customWidth="1" min="12" max="42" width="17.0"/>
  </cols>
  <sheetData>
    <row r="1">
      <c r="A1" s="1" t="s">
        <v>0</v>
      </c>
      <c r="B1" s="2"/>
      <c r="C1" s="3"/>
      <c r="D1" s="3"/>
      <c r="E1" s="2"/>
      <c r="F1" s="2"/>
      <c r="G1" s="2"/>
      <c r="H1" s="2"/>
      <c r="I1" s="4" t="s">
        <v>1</v>
      </c>
      <c r="K1" s="5" t="s">
        <v>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 t="s">
        <v>9</v>
      </c>
      <c r="I2" s="7" t="s">
        <v>10</v>
      </c>
      <c r="J2" s="7" t="s">
        <v>11</v>
      </c>
      <c r="K2" s="8" t="s">
        <v>12</v>
      </c>
      <c r="L2" s="9" t="s">
        <v>13</v>
      </c>
      <c r="M2" s="9" t="s">
        <v>14</v>
      </c>
      <c r="N2" s="9" t="s">
        <v>15</v>
      </c>
      <c r="O2" s="9" t="s">
        <v>16</v>
      </c>
      <c r="P2" s="9" t="s">
        <v>17</v>
      </c>
      <c r="Q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V2" s="9" t="s">
        <v>23</v>
      </c>
      <c r="W2" s="9" t="s">
        <v>24</v>
      </c>
      <c r="X2" s="9" t="s">
        <v>25</v>
      </c>
      <c r="Y2" s="9" t="s">
        <v>26</v>
      </c>
      <c r="Z2" s="9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9" t="s">
        <v>33</v>
      </c>
      <c r="AG2" s="9" t="s">
        <v>34</v>
      </c>
      <c r="AH2" s="9" t="s">
        <v>35</v>
      </c>
      <c r="AI2" s="9" t="s">
        <v>36</v>
      </c>
      <c r="AJ2" s="9" t="s">
        <v>37</v>
      </c>
      <c r="AK2" s="9" t="s">
        <v>38</v>
      </c>
      <c r="AL2" s="9" t="s">
        <v>39</v>
      </c>
      <c r="AM2" s="9"/>
      <c r="AN2" s="9"/>
      <c r="AO2" s="9"/>
      <c r="AP2" s="9"/>
    </row>
    <row r="3">
      <c r="A3" s="10">
        <v>1.0</v>
      </c>
      <c r="B3" s="11" t="s">
        <v>40</v>
      </c>
      <c r="C3" s="12"/>
      <c r="D3" s="13" t="s">
        <v>41</v>
      </c>
      <c r="E3" s="14"/>
      <c r="F3" s="14" t="s">
        <v>42</v>
      </c>
      <c r="G3" s="14"/>
      <c r="H3" s="15"/>
      <c r="I3" s="15" t="s">
        <v>43</v>
      </c>
      <c r="J3" s="12"/>
      <c r="K3" s="14" t="s">
        <v>44</v>
      </c>
      <c r="L3" s="16"/>
      <c r="M3" s="14"/>
      <c r="N3" s="17" t="s">
        <v>45</v>
      </c>
      <c r="O3" s="18" t="s">
        <v>46</v>
      </c>
      <c r="P3" s="18" t="s">
        <v>47</v>
      </c>
      <c r="Q3" s="19"/>
      <c r="R3" s="20" t="s">
        <v>48</v>
      </c>
      <c r="S3" s="21" t="s">
        <v>49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22"/>
      <c r="AJ3" s="22"/>
      <c r="AK3" s="22"/>
      <c r="AL3" s="22"/>
      <c r="AM3" s="22"/>
      <c r="AN3" s="22"/>
      <c r="AO3" s="22"/>
      <c r="AP3" s="22"/>
    </row>
    <row r="4">
      <c r="A4" s="10">
        <v>2.0</v>
      </c>
      <c r="B4" s="23" t="s">
        <v>50</v>
      </c>
      <c r="C4" s="12"/>
      <c r="D4" s="12"/>
      <c r="E4" s="12"/>
      <c r="F4" s="14"/>
      <c r="G4" s="14"/>
      <c r="H4" s="15"/>
      <c r="I4" s="24" t="s">
        <v>51</v>
      </c>
      <c r="J4" s="14"/>
      <c r="K4" s="25" t="s">
        <v>52</v>
      </c>
      <c r="L4" s="26" t="s">
        <v>53</v>
      </c>
      <c r="M4" s="14" t="s">
        <v>54</v>
      </c>
      <c r="N4" s="27" t="s">
        <v>55</v>
      </c>
      <c r="O4" s="12"/>
      <c r="P4" s="15" t="s">
        <v>56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22"/>
      <c r="AJ4" s="22"/>
      <c r="AK4" s="22"/>
      <c r="AL4" s="22"/>
      <c r="AM4" s="22"/>
      <c r="AN4" s="22"/>
      <c r="AO4" s="22"/>
      <c r="AP4" s="22"/>
    </row>
    <row r="5">
      <c r="A5" s="10">
        <v>3.0</v>
      </c>
      <c r="B5" s="23" t="s">
        <v>57</v>
      </c>
      <c r="C5" s="12"/>
      <c r="D5" s="12"/>
      <c r="E5" s="12"/>
      <c r="F5" s="28" t="s">
        <v>58</v>
      </c>
      <c r="G5" s="14" t="s">
        <v>59</v>
      </c>
      <c r="H5" s="28" t="s">
        <v>60</v>
      </c>
      <c r="I5" s="16" t="s">
        <v>61</v>
      </c>
      <c r="J5" s="14" t="s">
        <v>62</v>
      </c>
      <c r="K5" s="15"/>
      <c r="L5" s="14" t="s">
        <v>63</v>
      </c>
      <c r="M5" s="15" t="s">
        <v>64</v>
      </c>
      <c r="N5" s="14" t="s">
        <v>65</v>
      </c>
      <c r="O5" s="14"/>
      <c r="P5" s="15" t="s">
        <v>66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22"/>
      <c r="AJ5" s="22"/>
      <c r="AK5" s="22"/>
      <c r="AL5" s="22"/>
      <c r="AM5" s="22"/>
      <c r="AN5" s="22"/>
      <c r="AO5" s="22"/>
      <c r="AP5" s="22"/>
    </row>
    <row r="6">
      <c r="A6" s="10">
        <v>4.0</v>
      </c>
      <c r="B6" s="29" t="s">
        <v>67</v>
      </c>
      <c r="C6" s="12"/>
      <c r="D6" s="12"/>
      <c r="E6" s="14" t="s">
        <v>68</v>
      </c>
      <c r="F6" s="14" t="s">
        <v>69</v>
      </c>
      <c r="G6" s="2"/>
      <c r="H6" s="14" t="s">
        <v>70</v>
      </c>
      <c r="I6" s="12"/>
      <c r="J6" s="12"/>
      <c r="K6" s="12"/>
      <c r="L6" s="15" t="s">
        <v>71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22"/>
      <c r="AJ6" s="22"/>
      <c r="AK6" s="22"/>
      <c r="AL6" s="22"/>
      <c r="AM6" s="22"/>
      <c r="AN6" s="22"/>
      <c r="AO6" s="22"/>
      <c r="AP6" s="22"/>
    </row>
    <row r="7">
      <c r="A7" s="10">
        <v>5.0</v>
      </c>
      <c r="B7" s="29" t="s">
        <v>72</v>
      </c>
      <c r="C7" s="12"/>
      <c r="D7" s="12"/>
      <c r="E7" s="30"/>
      <c r="F7" s="14"/>
      <c r="G7" s="31"/>
      <c r="H7" s="14"/>
      <c r="I7" s="24"/>
      <c r="J7" s="13" t="s">
        <v>73</v>
      </c>
      <c r="K7" s="16" t="s">
        <v>74</v>
      </c>
      <c r="L7" s="14"/>
      <c r="M7" s="15"/>
      <c r="N7" s="15" t="s">
        <v>75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22"/>
      <c r="AJ7" s="22"/>
      <c r="AK7" s="22"/>
      <c r="AL7" s="22"/>
      <c r="AM7" s="22"/>
      <c r="AN7" s="22"/>
      <c r="AO7" s="22"/>
      <c r="AP7" s="22"/>
    </row>
    <row r="8">
      <c r="A8" s="10">
        <v>5.0</v>
      </c>
      <c r="B8" s="23" t="s">
        <v>76</v>
      </c>
      <c r="C8" s="12"/>
      <c r="D8" s="12"/>
      <c r="E8" s="30" t="s">
        <v>77</v>
      </c>
      <c r="F8" s="14" t="s">
        <v>78</v>
      </c>
      <c r="G8" s="14" t="s">
        <v>79</v>
      </c>
      <c r="H8" s="14" t="s">
        <v>80</v>
      </c>
      <c r="I8" s="24"/>
      <c r="J8" s="14" t="s">
        <v>81</v>
      </c>
      <c r="K8" s="16" t="s">
        <v>82</v>
      </c>
      <c r="L8" s="14" t="s">
        <v>83</v>
      </c>
      <c r="M8" s="16" t="s">
        <v>84</v>
      </c>
      <c r="N8" s="14" t="s">
        <v>85</v>
      </c>
      <c r="O8" s="12"/>
      <c r="P8" s="12"/>
      <c r="Q8" s="15" t="s">
        <v>86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22"/>
      <c r="AJ8" s="22"/>
      <c r="AK8" s="22"/>
      <c r="AL8" s="22"/>
      <c r="AM8" s="22"/>
      <c r="AN8" s="22"/>
      <c r="AO8" s="22"/>
      <c r="AP8" s="22"/>
    </row>
    <row r="9" hidden="1">
      <c r="A9" s="32">
        <v>6.0</v>
      </c>
      <c r="B9" s="33" t="s">
        <v>87</v>
      </c>
      <c r="C9" s="34"/>
      <c r="D9" s="34"/>
      <c r="E9" s="14"/>
      <c r="F9" s="35"/>
      <c r="G9" s="34"/>
      <c r="H9" s="36" t="s">
        <v>88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7"/>
      <c r="AJ9" s="37"/>
      <c r="AK9" s="37"/>
      <c r="AL9" s="37"/>
      <c r="AM9" s="37"/>
      <c r="AN9" s="37"/>
      <c r="AO9" s="37"/>
      <c r="AP9" s="37"/>
    </row>
    <row r="10">
      <c r="A10" s="32">
        <v>7.0</v>
      </c>
      <c r="B10" s="38" t="s">
        <v>89</v>
      </c>
      <c r="C10" s="34"/>
      <c r="D10" s="34"/>
      <c r="E10" s="14" t="s">
        <v>90</v>
      </c>
      <c r="F10" s="24"/>
      <c r="G10" s="15" t="s">
        <v>91</v>
      </c>
      <c r="H10" s="36" t="s">
        <v>92</v>
      </c>
      <c r="I10" s="24"/>
      <c r="J10" s="39"/>
      <c r="K10" s="24" t="s">
        <v>93</v>
      </c>
      <c r="L10" s="15" t="s">
        <v>94</v>
      </c>
      <c r="M10" s="15" t="s">
        <v>95</v>
      </c>
      <c r="N10" s="15" t="s">
        <v>96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7"/>
      <c r="AJ10" s="37"/>
      <c r="AK10" s="37"/>
      <c r="AL10" s="37"/>
      <c r="AM10" s="37"/>
      <c r="AN10" s="37"/>
      <c r="AO10" s="37"/>
      <c r="AP10" s="37"/>
    </row>
    <row r="11">
      <c r="A11" s="32"/>
      <c r="B11" s="33" t="s">
        <v>97</v>
      </c>
      <c r="C11" s="34"/>
      <c r="D11" s="34"/>
      <c r="E11" s="14"/>
      <c r="F11" s="24"/>
      <c r="G11" s="15"/>
      <c r="H11" s="40"/>
      <c r="I11" s="16"/>
      <c r="J11" s="17"/>
      <c r="K11" s="15"/>
      <c r="L11" s="24"/>
      <c r="M11" s="15"/>
      <c r="N11" s="35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7"/>
      <c r="AK11" s="37"/>
      <c r="AL11" s="37"/>
      <c r="AM11" s="37"/>
      <c r="AN11" s="37"/>
      <c r="AO11" s="37"/>
      <c r="AP11" s="37"/>
    </row>
    <row r="12">
      <c r="A12" s="32">
        <v>8.0</v>
      </c>
      <c r="B12" s="29" t="s">
        <v>98</v>
      </c>
      <c r="C12" s="34"/>
      <c r="D12" s="34"/>
      <c r="E12" s="14"/>
      <c r="F12" s="24"/>
      <c r="G12" s="15"/>
      <c r="H12" s="40" t="s">
        <v>99</v>
      </c>
      <c r="I12" s="16" t="s">
        <v>100</v>
      </c>
      <c r="J12" s="17" t="s">
        <v>45</v>
      </c>
      <c r="K12" s="15" t="s">
        <v>101</v>
      </c>
      <c r="L12" s="24"/>
      <c r="M12" s="15"/>
      <c r="N12" s="35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7"/>
      <c r="AJ12" s="37"/>
      <c r="AK12" s="37"/>
      <c r="AL12" s="37"/>
      <c r="AM12" s="37"/>
      <c r="AN12" s="37"/>
      <c r="AO12" s="37"/>
      <c r="AP12" s="37"/>
    </row>
    <row r="13" ht="15.0" customHeight="1">
      <c r="A13" s="41"/>
      <c r="B13" s="42"/>
      <c r="C13" s="43"/>
      <c r="D13" s="43"/>
      <c r="E13" s="43"/>
      <c r="F13" s="43"/>
      <c r="G13" s="43"/>
      <c r="H13" s="43"/>
      <c r="I13" s="43"/>
      <c r="J13" s="43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</row>
    <row r="14">
      <c r="A14" s="44" t="s">
        <v>102</v>
      </c>
      <c r="B14" s="45"/>
      <c r="C14" s="46">
        <f>C16-C64</f>
        <v>0</v>
      </c>
      <c r="D14" s="46">
        <f t="shared" ref="D14:AK14" si="1">C14+D16-D64</f>
        <v>38742420</v>
      </c>
      <c r="E14" s="46">
        <f t="shared" si="1"/>
        <v>38742420</v>
      </c>
      <c r="F14" s="46">
        <f t="shared" si="1"/>
        <v>324167100</v>
      </c>
      <c r="G14" s="46">
        <f t="shared" si="1"/>
        <v>300167100</v>
      </c>
      <c r="H14" s="46">
        <f t="shared" si="1"/>
        <v>1032246889</v>
      </c>
      <c r="I14" s="46">
        <f t="shared" si="1"/>
        <v>947169402</v>
      </c>
      <c r="J14" s="46">
        <f t="shared" si="1"/>
        <v>1152586993</v>
      </c>
      <c r="K14" s="46">
        <f t="shared" si="1"/>
        <v>1339798748</v>
      </c>
      <c r="L14" s="46">
        <f t="shared" si="1"/>
        <v>1357940482</v>
      </c>
      <c r="M14" s="46">
        <f t="shared" si="1"/>
        <v>1070363318</v>
      </c>
      <c r="N14" s="46">
        <f t="shared" si="1"/>
        <v>1410374562</v>
      </c>
      <c r="O14" s="46">
        <f t="shared" si="1"/>
        <v>1655874562</v>
      </c>
      <c r="P14" s="46">
        <f t="shared" si="1"/>
        <v>1946555073</v>
      </c>
      <c r="Q14" s="46">
        <f t="shared" si="1"/>
        <v>2402622664</v>
      </c>
      <c r="R14" s="46">
        <f t="shared" si="1"/>
        <v>2475473614</v>
      </c>
      <c r="S14" s="46">
        <f t="shared" si="1"/>
        <v>2646773614</v>
      </c>
      <c r="T14" s="46">
        <f t="shared" si="1"/>
        <v>2998605327</v>
      </c>
      <c r="U14" s="46">
        <f t="shared" si="1"/>
        <v>3112805327</v>
      </c>
      <c r="V14" s="46">
        <f t="shared" si="1"/>
        <v>3304958756</v>
      </c>
      <c r="W14" s="46">
        <f t="shared" si="1"/>
        <v>3625740469</v>
      </c>
      <c r="X14" s="46">
        <f t="shared" si="1"/>
        <v>3625740469</v>
      </c>
      <c r="Y14" s="46">
        <f t="shared" si="1"/>
        <v>3904855541</v>
      </c>
      <c r="Z14" s="46">
        <f t="shared" si="1"/>
        <v>3904855541</v>
      </c>
      <c r="AA14" s="46">
        <f t="shared" si="1"/>
        <v>3904855541</v>
      </c>
      <c r="AB14" s="46">
        <f t="shared" si="1"/>
        <v>4240970613</v>
      </c>
      <c r="AC14" s="46">
        <f t="shared" si="1"/>
        <v>4375970613</v>
      </c>
      <c r="AD14" s="46">
        <f t="shared" si="1"/>
        <v>4519970613</v>
      </c>
      <c r="AE14" s="46">
        <f t="shared" si="1"/>
        <v>4711970613</v>
      </c>
      <c r="AF14" s="46">
        <f t="shared" si="1"/>
        <v>5047970613</v>
      </c>
      <c r="AG14" s="46">
        <f t="shared" si="1"/>
        <v>5047970613</v>
      </c>
      <c r="AH14" s="46">
        <f t="shared" si="1"/>
        <v>5182970613</v>
      </c>
      <c r="AI14" s="46">
        <f t="shared" si="1"/>
        <v>5317970613</v>
      </c>
      <c r="AJ14" s="46">
        <f t="shared" si="1"/>
        <v>5317970613</v>
      </c>
      <c r="AK14" s="46">
        <f t="shared" si="1"/>
        <v>5452970613</v>
      </c>
      <c r="AL14" s="47"/>
      <c r="AM14" s="47"/>
      <c r="AN14" s="47"/>
      <c r="AO14" s="47"/>
      <c r="AP14" s="47"/>
    </row>
    <row r="15">
      <c r="A15" s="43"/>
      <c r="B15" s="48"/>
      <c r="C15" s="49" t="s">
        <v>4</v>
      </c>
      <c r="D15" s="49" t="s">
        <v>5</v>
      </c>
      <c r="E15" s="49" t="s">
        <v>6</v>
      </c>
      <c r="F15" s="49" t="s">
        <v>7</v>
      </c>
      <c r="G15" s="49" t="s">
        <v>8</v>
      </c>
      <c r="H15" s="49" t="s">
        <v>103</v>
      </c>
      <c r="I15" s="49" t="s">
        <v>10</v>
      </c>
      <c r="J15" s="49" t="s">
        <v>11</v>
      </c>
      <c r="K15" s="48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</row>
    <row r="16">
      <c r="A16" s="51" t="s">
        <v>104</v>
      </c>
      <c r="B16" s="52" t="s">
        <v>105</v>
      </c>
      <c r="C16" s="53">
        <f t="shared" ref="C16:D16" si="2">SUM(C17:C35)</f>
        <v>0</v>
      </c>
      <c r="D16" s="53">
        <f t="shared" si="2"/>
        <v>38742420</v>
      </c>
      <c r="E16" s="53">
        <f t="shared" ref="E16:AK16" si="3">SUM(E17:E59)</f>
        <v>0</v>
      </c>
      <c r="F16" s="53">
        <f t="shared" si="3"/>
        <v>285424680</v>
      </c>
      <c r="G16" s="53">
        <f t="shared" si="3"/>
        <v>0</v>
      </c>
      <c r="H16" s="53">
        <f t="shared" si="3"/>
        <v>889205839</v>
      </c>
      <c r="I16" s="53">
        <f t="shared" si="3"/>
        <v>13554000</v>
      </c>
      <c r="J16" s="53">
        <f t="shared" si="3"/>
        <v>245017591</v>
      </c>
      <c r="K16" s="53">
        <f t="shared" si="3"/>
        <v>201291755</v>
      </c>
      <c r="L16" s="53">
        <f t="shared" si="3"/>
        <v>91378247</v>
      </c>
      <c r="M16" s="53">
        <f t="shared" si="3"/>
        <v>161764668</v>
      </c>
      <c r="N16" s="53">
        <f t="shared" si="3"/>
        <v>340011244</v>
      </c>
      <c r="O16" s="53">
        <f t="shared" si="3"/>
        <v>285500000</v>
      </c>
      <c r="P16" s="53">
        <f t="shared" si="3"/>
        <v>290680511</v>
      </c>
      <c r="Q16" s="53">
        <f t="shared" si="3"/>
        <v>456067591</v>
      </c>
      <c r="R16" s="53">
        <f t="shared" si="3"/>
        <v>187708950</v>
      </c>
      <c r="S16" s="53">
        <f t="shared" si="3"/>
        <v>171300000</v>
      </c>
      <c r="T16" s="53">
        <f t="shared" si="3"/>
        <v>351831713</v>
      </c>
      <c r="U16" s="53">
        <f t="shared" si="3"/>
        <v>114200000</v>
      </c>
      <c r="V16" s="53">
        <f t="shared" si="3"/>
        <v>192153429</v>
      </c>
      <c r="W16" s="53">
        <f t="shared" si="3"/>
        <v>320781713</v>
      </c>
      <c r="X16" s="53">
        <f t="shared" si="3"/>
        <v>0</v>
      </c>
      <c r="Y16" s="53">
        <f t="shared" si="3"/>
        <v>279115072</v>
      </c>
      <c r="Z16" s="53">
        <f t="shared" si="3"/>
        <v>0</v>
      </c>
      <c r="AA16" s="53">
        <f t="shared" si="3"/>
        <v>0</v>
      </c>
      <c r="AB16" s="53">
        <f t="shared" si="3"/>
        <v>336115072</v>
      </c>
      <c r="AC16" s="53">
        <f t="shared" si="3"/>
        <v>135000000</v>
      </c>
      <c r="AD16" s="53">
        <f t="shared" si="3"/>
        <v>144000000</v>
      </c>
      <c r="AE16" s="53">
        <f t="shared" si="3"/>
        <v>192000000</v>
      </c>
      <c r="AF16" s="53">
        <f t="shared" si="3"/>
        <v>336000000</v>
      </c>
      <c r="AG16" s="53">
        <f t="shared" si="3"/>
        <v>0</v>
      </c>
      <c r="AH16" s="53">
        <f t="shared" si="3"/>
        <v>135000000</v>
      </c>
      <c r="AI16" s="53">
        <f t="shared" si="3"/>
        <v>135000000</v>
      </c>
      <c r="AJ16" s="53">
        <f t="shared" si="3"/>
        <v>0</v>
      </c>
      <c r="AK16" s="53">
        <f t="shared" si="3"/>
        <v>135000000</v>
      </c>
      <c r="AL16" s="54"/>
      <c r="AM16" s="54"/>
      <c r="AN16" s="54"/>
      <c r="AO16" s="54"/>
      <c r="AP16" s="54"/>
    </row>
    <row r="17">
      <c r="A17" s="55">
        <v>1.0</v>
      </c>
      <c r="B17" s="56" t="s">
        <v>106</v>
      </c>
      <c r="C17" s="57"/>
      <c r="D17" s="58"/>
      <c r="E17" s="59"/>
      <c r="F17" s="57"/>
      <c r="G17" s="57"/>
      <c r="H17" s="57"/>
      <c r="I17" s="2"/>
      <c r="J17" s="57"/>
      <c r="K17" s="57">
        <v>5.8611244E7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60"/>
      <c r="AJ17" s="60"/>
      <c r="AK17" s="60"/>
      <c r="AL17" s="60"/>
      <c r="AM17" s="60"/>
      <c r="AN17" s="60"/>
      <c r="AO17" s="60"/>
      <c r="AP17" s="60"/>
    </row>
    <row r="18">
      <c r="A18" s="61">
        <v>2.0</v>
      </c>
      <c r="B18" s="56" t="s">
        <v>107</v>
      </c>
      <c r="C18" s="57"/>
      <c r="D18" s="59">
        <v>3.874242E7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60"/>
      <c r="AJ18" s="60"/>
      <c r="AK18" s="60"/>
      <c r="AL18" s="60"/>
      <c r="AM18" s="60"/>
      <c r="AN18" s="60"/>
      <c r="AO18" s="60"/>
      <c r="AP18" s="60"/>
    </row>
    <row r="19">
      <c r="A19" s="55">
        <v>3.0</v>
      </c>
      <c r="B19" s="56" t="s">
        <v>108</v>
      </c>
      <c r="C19" s="57"/>
      <c r="D19" s="58"/>
      <c r="E19" s="59"/>
      <c r="F19" s="57"/>
      <c r="G19" s="57"/>
      <c r="H19" s="57"/>
      <c r="I19" s="2"/>
      <c r="J19" s="57"/>
      <c r="K19" s="57">
        <v>1.11E8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60"/>
      <c r="AJ19" s="60"/>
      <c r="AK19" s="60"/>
      <c r="AL19" s="60"/>
      <c r="AM19" s="60"/>
      <c r="AN19" s="60"/>
      <c r="AO19" s="60"/>
      <c r="AP19" s="60"/>
    </row>
    <row r="20">
      <c r="A20" s="61">
        <v>4.0</v>
      </c>
      <c r="B20" s="62" t="s">
        <v>109</v>
      </c>
      <c r="C20" s="57"/>
      <c r="D20" s="57"/>
      <c r="E20" s="57"/>
      <c r="F20" s="59"/>
      <c r="G20" s="57"/>
      <c r="H20" s="57"/>
      <c r="I20" s="57"/>
      <c r="J20" s="57"/>
      <c r="K20" s="2"/>
      <c r="L20" s="57">
        <v>4.7520765E7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60"/>
      <c r="AJ20" s="60"/>
      <c r="AK20" s="60"/>
      <c r="AL20" s="60"/>
      <c r="AM20" s="60"/>
      <c r="AN20" s="60"/>
      <c r="AO20" s="60"/>
      <c r="AP20" s="60"/>
    </row>
    <row r="21">
      <c r="A21" s="55">
        <v>5.0</v>
      </c>
      <c r="B21" s="62" t="s">
        <v>110</v>
      </c>
      <c r="C21" s="57"/>
      <c r="D21" s="57"/>
      <c r="E21" s="57"/>
      <c r="F21" s="59">
        <v>4.7520765E7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60"/>
      <c r="AJ21" s="60"/>
      <c r="AK21" s="60"/>
      <c r="AL21" s="60"/>
      <c r="AM21" s="60"/>
      <c r="AN21" s="60"/>
      <c r="AO21" s="60"/>
      <c r="AP21" s="60"/>
    </row>
    <row r="22">
      <c r="A22" s="61"/>
      <c r="B22" s="62" t="s">
        <v>111</v>
      </c>
      <c r="C22" s="57"/>
      <c r="D22" s="57"/>
      <c r="E22" s="57"/>
      <c r="F22" s="59"/>
      <c r="G22" s="57"/>
      <c r="H22" s="57"/>
      <c r="I22" s="57"/>
      <c r="J22" s="57"/>
      <c r="K22" s="57">
        <v>3.1680511E7</v>
      </c>
      <c r="L22" s="58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60"/>
      <c r="AJ22" s="60"/>
      <c r="AK22" s="60"/>
      <c r="AL22" s="60"/>
      <c r="AM22" s="60"/>
      <c r="AN22" s="60"/>
      <c r="AO22" s="60"/>
      <c r="AP22" s="60"/>
    </row>
    <row r="23">
      <c r="A23" s="61">
        <v>6.0</v>
      </c>
      <c r="B23" s="56" t="s">
        <v>112</v>
      </c>
      <c r="C23" s="57"/>
      <c r="D23" s="57"/>
      <c r="E23" s="57"/>
      <c r="F23" s="59"/>
      <c r="G23" s="57"/>
      <c r="H23" s="57"/>
      <c r="I23" s="57"/>
      <c r="J23" s="57"/>
      <c r="K23" s="57"/>
      <c r="L23" s="58"/>
      <c r="M23" s="57"/>
      <c r="N23" s="57">
        <v>5.8611244E7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60"/>
      <c r="AJ23" s="60"/>
      <c r="AK23" s="60"/>
      <c r="AL23" s="60"/>
      <c r="AM23" s="60"/>
      <c r="AN23" s="60"/>
      <c r="AO23" s="60"/>
      <c r="AP23" s="60"/>
    </row>
    <row r="24">
      <c r="A24" s="55">
        <v>7.0</v>
      </c>
      <c r="B24" s="56" t="s">
        <v>113</v>
      </c>
      <c r="C24" s="57"/>
      <c r="D24" s="57"/>
      <c r="E24" s="57"/>
      <c r="F24" s="59"/>
      <c r="G24" s="57"/>
      <c r="H24" s="57">
        <v>6.18970507E8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60"/>
      <c r="AJ24" s="60"/>
      <c r="AK24" s="60"/>
      <c r="AL24" s="60"/>
      <c r="AM24" s="60"/>
      <c r="AN24" s="60"/>
      <c r="AO24" s="60"/>
      <c r="AP24" s="60"/>
    </row>
    <row r="25">
      <c r="A25" s="61">
        <v>8.0</v>
      </c>
      <c r="B25" s="62" t="s">
        <v>114</v>
      </c>
      <c r="C25" s="57"/>
      <c r="D25" s="57"/>
      <c r="E25" s="57"/>
      <c r="F25" s="63"/>
      <c r="G25" s="64"/>
      <c r="H25" s="63"/>
      <c r="I25" s="63">
        <v>1.3554E7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60"/>
      <c r="AJ25" s="60"/>
      <c r="AK25" s="60"/>
      <c r="AL25" s="60"/>
      <c r="AM25" s="60"/>
      <c r="AN25" s="60"/>
      <c r="AO25" s="60"/>
      <c r="AP25" s="60"/>
    </row>
    <row r="26">
      <c r="A26" s="55">
        <v>9.0</v>
      </c>
      <c r="B26" s="62" t="s">
        <v>115</v>
      </c>
      <c r="C26" s="57"/>
      <c r="D26" s="57"/>
      <c r="E26" s="57"/>
      <c r="F26" s="63"/>
      <c r="G26" s="64"/>
      <c r="H26" s="63">
        <v>2.70235332E8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60"/>
      <c r="AJ26" s="60"/>
      <c r="AK26" s="60"/>
      <c r="AL26" s="60"/>
      <c r="AM26" s="60"/>
      <c r="AN26" s="60"/>
      <c r="AO26" s="60"/>
      <c r="AP26" s="60"/>
    </row>
    <row r="27">
      <c r="A27" s="61">
        <v>10.0</v>
      </c>
      <c r="B27" s="56" t="s">
        <v>116</v>
      </c>
      <c r="C27" s="57"/>
      <c r="D27" s="57"/>
      <c r="E27" s="57"/>
      <c r="F27" s="57">
        <v>2.37903915E8</v>
      </c>
      <c r="G27" s="59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60"/>
      <c r="AJ27" s="60"/>
      <c r="AK27" s="60"/>
      <c r="AL27" s="60"/>
      <c r="AM27" s="60"/>
      <c r="AN27" s="60"/>
      <c r="AO27" s="60"/>
      <c r="AP27" s="60"/>
    </row>
    <row r="28">
      <c r="A28" s="61">
        <v>12.0</v>
      </c>
      <c r="B28" s="56" t="s">
        <v>117</v>
      </c>
      <c r="C28" s="57"/>
      <c r="D28" s="57"/>
      <c r="E28" s="57"/>
      <c r="F28" s="57"/>
      <c r="G28" s="59"/>
      <c r="H28" s="57"/>
      <c r="I28" s="57"/>
      <c r="J28" s="57"/>
      <c r="K28" s="57"/>
      <c r="L28" s="2"/>
      <c r="M28" s="57"/>
      <c r="N28" s="57"/>
      <c r="O28" s="57"/>
      <c r="P28" s="57">
        <v>2.5899999999999997E8</v>
      </c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60"/>
      <c r="AJ28" s="60"/>
      <c r="AK28" s="60"/>
      <c r="AL28" s="60"/>
      <c r="AM28" s="60"/>
      <c r="AN28" s="60"/>
      <c r="AO28" s="60"/>
      <c r="AP28" s="60"/>
    </row>
    <row r="29">
      <c r="A29" s="55">
        <v>13.0</v>
      </c>
      <c r="B29" s="62" t="s">
        <v>111</v>
      </c>
      <c r="C29" s="57"/>
      <c r="D29" s="57"/>
      <c r="E29" s="57"/>
      <c r="F29" s="57"/>
      <c r="G29" s="57"/>
      <c r="H29" s="57"/>
      <c r="I29" s="57"/>
      <c r="J29" s="2"/>
      <c r="K29" s="2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60"/>
      <c r="AJ29" s="60"/>
      <c r="AK29" s="60"/>
      <c r="AL29" s="60"/>
      <c r="AM29" s="60"/>
      <c r="AN29" s="60"/>
      <c r="AO29" s="60"/>
      <c r="AP29" s="60"/>
    </row>
    <row r="30">
      <c r="A30" s="61">
        <v>14.0</v>
      </c>
      <c r="B30" s="56" t="s">
        <v>118</v>
      </c>
      <c r="C30" s="57"/>
      <c r="D30" s="57"/>
      <c r="E30" s="57"/>
      <c r="F30" s="57"/>
      <c r="G30" s="57"/>
      <c r="H30" s="57"/>
      <c r="I30" s="2"/>
      <c r="J30" s="63">
        <v>2.45017591E8</v>
      </c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60"/>
      <c r="AJ30" s="60"/>
      <c r="AK30" s="60"/>
      <c r="AL30" s="60"/>
      <c r="AM30" s="60"/>
      <c r="AN30" s="60"/>
      <c r="AO30" s="60"/>
      <c r="AP30" s="60"/>
    </row>
    <row r="31">
      <c r="A31" s="55">
        <v>15.0</v>
      </c>
      <c r="B31" s="56" t="s">
        <v>119</v>
      </c>
      <c r="C31" s="57"/>
      <c r="D31" s="57"/>
      <c r="E31" s="57"/>
      <c r="F31" s="57"/>
      <c r="G31" s="57"/>
      <c r="H31" s="57"/>
      <c r="I31" s="57"/>
      <c r="J31" s="59"/>
      <c r="K31" s="57"/>
      <c r="L31" s="57"/>
      <c r="M31" s="2"/>
      <c r="N31" s="57"/>
      <c r="O31" s="57"/>
      <c r="P31" s="57"/>
      <c r="Q31" s="63">
        <v>2.45017591E8</v>
      </c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60"/>
      <c r="AJ31" s="60"/>
      <c r="AK31" s="60"/>
      <c r="AL31" s="60"/>
      <c r="AM31" s="60"/>
      <c r="AN31" s="60"/>
      <c r="AO31" s="60"/>
      <c r="AP31" s="60"/>
    </row>
    <row r="32">
      <c r="A32" s="61">
        <v>16.0</v>
      </c>
      <c r="B32" s="56" t="s">
        <v>120</v>
      </c>
      <c r="C32" s="57"/>
      <c r="D32" s="57"/>
      <c r="E32" s="57"/>
      <c r="F32" s="57"/>
      <c r="G32" s="57"/>
      <c r="H32" s="57"/>
      <c r="I32" s="57"/>
      <c r="J32" s="59"/>
      <c r="K32" s="57"/>
      <c r="L32" s="57">
        <v>4.3857482E7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60"/>
      <c r="AJ32" s="60"/>
      <c r="AK32" s="60"/>
      <c r="AL32" s="60"/>
      <c r="AM32" s="60"/>
      <c r="AN32" s="60"/>
      <c r="AO32" s="60"/>
      <c r="AP32" s="60"/>
    </row>
    <row r="33">
      <c r="A33" s="55">
        <v>17.0</v>
      </c>
      <c r="B33" s="62" t="s">
        <v>121</v>
      </c>
      <c r="C33" s="57"/>
      <c r="D33" s="57"/>
      <c r="E33" s="57"/>
      <c r="F33" s="57"/>
      <c r="G33" s="57"/>
      <c r="H33" s="57"/>
      <c r="I33" s="57"/>
      <c r="J33" s="64"/>
      <c r="K33" s="63"/>
      <c r="L33" s="63"/>
      <c r="M33" s="63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60"/>
      <c r="AJ33" s="60"/>
      <c r="AK33" s="60"/>
      <c r="AL33" s="60"/>
      <c r="AM33" s="60"/>
      <c r="AN33" s="60"/>
      <c r="AO33" s="60"/>
      <c r="AP33" s="60"/>
    </row>
    <row r="34">
      <c r="A34" s="61">
        <v>18.0</v>
      </c>
      <c r="B34" s="62" t="s">
        <v>122</v>
      </c>
      <c r="C34" s="57"/>
      <c r="D34" s="57"/>
      <c r="E34" s="57"/>
      <c r="F34" s="57"/>
      <c r="G34" s="57"/>
      <c r="H34" s="57"/>
      <c r="I34" s="57"/>
      <c r="J34" s="64"/>
      <c r="K34" s="57"/>
      <c r="L34" s="63"/>
      <c r="M34" s="63">
        <v>1.61764668E8</v>
      </c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60"/>
      <c r="AJ34" s="60"/>
      <c r="AK34" s="60"/>
      <c r="AL34" s="60"/>
      <c r="AM34" s="60"/>
      <c r="AN34" s="60"/>
      <c r="AO34" s="60"/>
      <c r="AP34" s="60"/>
    </row>
    <row r="35">
      <c r="A35" s="55">
        <v>19.0</v>
      </c>
      <c r="B35" s="62" t="s">
        <v>123</v>
      </c>
      <c r="C35" s="57"/>
      <c r="D35" s="57"/>
      <c r="E35" s="57"/>
      <c r="F35" s="57"/>
      <c r="G35" s="57"/>
      <c r="H35" s="57"/>
      <c r="I35" s="57"/>
      <c r="J35" s="59"/>
      <c r="K35" s="57"/>
      <c r="L35" s="57"/>
      <c r="M35" s="57"/>
      <c r="N35" s="57"/>
      <c r="O35" s="57"/>
      <c r="P35" s="57">
        <v>3.1680511E7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60"/>
      <c r="AJ35" s="60"/>
      <c r="AK35" s="60"/>
      <c r="AL35" s="60"/>
      <c r="AM35" s="60"/>
      <c r="AN35" s="60"/>
      <c r="AO35" s="60"/>
      <c r="AP35" s="60"/>
    </row>
    <row r="36">
      <c r="A36" s="61">
        <v>1.0</v>
      </c>
      <c r="B36" s="65" t="s">
        <v>124</v>
      </c>
      <c r="C36" s="66"/>
      <c r="D36" s="57"/>
      <c r="E36" s="57"/>
      <c r="F36" s="57"/>
      <c r="G36" s="57"/>
      <c r="H36" s="58"/>
      <c r="I36" s="58"/>
      <c r="J36" s="58"/>
      <c r="K36" s="67"/>
      <c r="L36" s="68"/>
      <c r="M36" s="58"/>
      <c r="N36" s="69">
        <v>2.814E8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1"/>
      <c r="AF36" s="70"/>
      <c r="AG36" s="70"/>
      <c r="AH36" s="70"/>
      <c r="AI36" s="70"/>
      <c r="AJ36" s="70"/>
      <c r="AK36" s="70"/>
      <c r="AL36" s="70"/>
      <c r="AM36" s="72"/>
      <c r="AN36" s="72"/>
      <c r="AO36" s="72"/>
      <c r="AP36" s="72"/>
    </row>
    <row r="37">
      <c r="A37" s="61">
        <v>2.0</v>
      </c>
      <c r="B37" s="73" t="s">
        <v>125</v>
      </c>
      <c r="C37" s="74"/>
      <c r="D37" s="57"/>
      <c r="E37" s="57"/>
      <c r="F37" s="57"/>
      <c r="G37" s="57"/>
      <c r="H37" s="58"/>
      <c r="I37" s="58"/>
      <c r="J37" s="58"/>
      <c r="K37" s="2"/>
      <c r="L37" s="70"/>
      <c r="M37" s="58"/>
      <c r="N37" s="75"/>
      <c r="O37" s="76">
        <v>2.855E8</v>
      </c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1"/>
      <c r="AF37" s="70"/>
      <c r="AG37" s="70"/>
      <c r="AH37" s="70"/>
      <c r="AI37" s="70"/>
      <c r="AJ37" s="70"/>
      <c r="AK37" s="70"/>
      <c r="AL37" s="70"/>
      <c r="AM37" s="72"/>
      <c r="AN37" s="72"/>
      <c r="AO37" s="72"/>
      <c r="AP37" s="72"/>
    </row>
    <row r="38">
      <c r="A38" s="61">
        <v>3.0</v>
      </c>
      <c r="B38" s="65" t="s">
        <v>126</v>
      </c>
      <c r="C38" s="74"/>
      <c r="D38" s="57"/>
      <c r="E38" s="57"/>
      <c r="F38" s="57"/>
      <c r="G38" s="57"/>
      <c r="H38" s="58"/>
      <c r="I38" s="58"/>
      <c r="J38" s="58"/>
      <c r="K38" s="2"/>
      <c r="L38" s="70"/>
      <c r="M38" s="58"/>
      <c r="N38" s="75"/>
      <c r="O38" s="70"/>
      <c r="P38" s="70"/>
      <c r="Q38" s="77">
        <v>2.1105E8</v>
      </c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1"/>
      <c r="AF38" s="70"/>
      <c r="AG38" s="70"/>
      <c r="AH38" s="70"/>
      <c r="AI38" s="70"/>
      <c r="AJ38" s="70"/>
      <c r="AK38" s="70"/>
      <c r="AL38" s="70"/>
      <c r="AM38" s="72"/>
      <c r="AN38" s="72"/>
      <c r="AO38" s="72"/>
      <c r="AP38" s="72"/>
    </row>
    <row r="39">
      <c r="A39" s="61">
        <v>4.0</v>
      </c>
      <c r="B39" s="78" t="s">
        <v>127</v>
      </c>
      <c r="C39" s="74"/>
      <c r="D39" s="57"/>
      <c r="E39" s="57"/>
      <c r="F39" s="57"/>
      <c r="G39" s="57"/>
      <c r="H39" s="58"/>
      <c r="I39" s="58"/>
      <c r="J39" s="58"/>
      <c r="K39" s="2"/>
      <c r="L39" s="70"/>
      <c r="M39" s="58"/>
      <c r="N39" s="75"/>
      <c r="O39" s="70"/>
      <c r="P39" s="70"/>
      <c r="Q39" s="72"/>
      <c r="R39" s="79">
        <v>1.8770895E8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1"/>
      <c r="AF39" s="70"/>
      <c r="AG39" s="70"/>
      <c r="AH39" s="70"/>
      <c r="AI39" s="70"/>
      <c r="AJ39" s="70"/>
      <c r="AK39" s="70"/>
      <c r="AL39" s="70"/>
      <c r="AM39" s="72"/>
      <c r="AN39" s="72"/>
      <c r="AO39" s="72"/>
      <c r="AP39" s="72"/>
    </row>
    <row r="40">
      <c r="A40" s="61">
        <v>5.0</v>
      </c>
      <c r="B40" s="73" t="s">
        <v>128</v>
      </c>
      <c r="C40" s="74"/>
      <c r="D40" s="57"/>
      <c r="E40" s="57"/>
      <c r="F40" s="57"/>
      <c r="G40" s="57"/>
      <c r="H40" s="58"/>
      <c r="I40" s="58"/>
      <c r="J40" s="58"/>
      <c r="K40" s="2"/>
      <c r="L40" s="70"/>
      <c r="M40" s="58"/>
      <c r="N40" s="75"/>
      <c r="O40" s="70"/>
      <c r="P40" s="70"/>
      <c r="Q40" s="70"/>
      <c r="R40" s="72"/>
      <c r="S40" s="76">
        <v>1.713E8</v>
      </c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1"/>
      <c r="AF40" s="70"/>
      <c r="AG40" s="70"/>
      <c r="AH40" s="70"/>
      <c r="AI40" s="70"/>
      <c r="AJ40" s="70"/>
      <c r="AK40" s="70"/>
      <c r="AL40" s="70"/>
      <c r="AM40" s="72"/>
      <c r="AN40" s="72"/>
      <c r="AO40" s="72"/>
      <c r="AP40" s="72"/>
    </row>
    <row r="41">
      <c r="A41" s="61">
        <v>6.0</v>
      </c>
      <c r="B41" s="65" t="s">
        <v>129</v>
      </c>
      <c r="C41" s="74"/>
      <c r="D41" s="57"/>
      <c r="E41" s="57"/>
      <c r="F41" s="57"/>
      <c r="G41" s="57"/>
      <c r="H41" s="58"/>
      <c r="I41" s="58"/>
      <c r="J41" s="58"/>
      <c r="K41" s="2"/>
      <c r="L41" s="70"/>
      <c r="M41" s="58"/>
      <c r="N41" s="75"/>
      <c r="O41" s="70"/>
      <c r="P41" s="70"/>
      <c r="Q41" s="70"/>
      <c r="R41" s="70"/>
      <c r="S41" s="70"/>
      <c r="T41" s="77">
        <v>2.1105E8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1"/>
      <c r="AF41" s="70"/>
      <c r="AG41" s="70"/>
      <c r="AH41" s="70"/>
      <c r="AI41" s="70"/>
      <c r="AJ41" s="70"/>
      <c r="AK41" s="70"/>
      <c r="AL41" s="70"/>
      <c r="AM41" s="72"/>
      <c r="AN41" s="72"/>
      <c r="AO41" s="72"/>
      <c r="AP41" s="72"/>
    </row>
    <row r="42">
      <c r="A42" s="61">
        <v>7.0</v>
      </c>
      <c r="B42" s="78" t="s">
        <v>130</v>
      </c>
      <c r="C42" s="74"/>
      <c r="D42" s="57"/>
      <c r="E42" s="57"/>
      <c r="F42" s="57"/>
      <c r="G42" s="57"/>
      <c r="H42" s="58"/>
      <c r="I42" s="58"/>
      <c r="J42" s="58"/>
      <c r="K42" s="2"/>
      <c r="L42" s="70"/>
      <c r="M42" s="58"/>
      <c r="N42" s="75"/>
      <c r="O42" s="70"/>
      <c r="P42" s="70"/>
      <c r="Q42" s="70"/>
      <c r="R42" s="70"/>
      <c r="S42" s="70"/>
      <c r="T42" s="79">
        <v>1.40781713E8</v>
      </c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1"/>
      <c r="AF42" s="70"/>
      <c r="AG42" s="70"/>
      <c r="AH42" s="70"/>
      <c r="AI42" s="70"/>
      <c r="AJ42" s="70"/>
      <c r="AK42" s="70"/>
      <c r="AL42" s="70"/>
      <c r="AM42" s="72"/>
      <c r="AN42" s="72"/>
      <c r="AO42" s="72"/>
      <c r="AP42" s="72"/>
    </row>
    <row r="43">
      <c r="A43" s="61">
        <v>8.0</v>
      </c>
      <c r="B43" s="73" t="s">
        <v>131</v>
      </c>
      <c r="C43" s="74"/>
      <c r="D43" s="57"/>
      <c r="E43" s="57"/>
      <c r="F43" s="57"/>
      <c r="G43" s="57"/>
      <c r="H43" s="58"/>
      <c r="I43" s="58"/>
      <c r="J43" s="58"/>
      <c r="K43" s="2"/>
      <c r="L43" s="70"/>
      <c r="M43" s="58"/>
      <c r="N43" s="75"/>
      <c r="O43" s="70"/>
      <c r="P43" s="70"/>
      <c r="Q43" s="70"/>
      <c r="R43" s="70"/>
      <c r="S43" s="70"/>
      <c r="T43" s="70"/>
      <c r="U43" s="76">
        <v>1.142E8</v>
      </c>
      <c r="V43" s="70"/>
      <c r="W43" s="70"/>
      <c r="X43" s="70"/>
      <c r="Y43" s="70"/>
      <c r="Z43" s="70"/>
      <c r="AA43" s="70"/>
      <c r="AB43" s="70"/>
      <c r="AC43" s="70"/>
      <c r="AD43" s="70"/>
      <c r="AE43" s="71"/>
      <c r="AF43" s="70"/>
      <c r="AG43" s="70"/>
      <c r="AH43" s="70"/>
      <c r="AI43" s="70"/>
      <c r="AJ43" s="70"/>
      <c r="AK43" s="70"/>
      <c r="AL43" s="70"/>
      <c r="AM43" s="72"/>
      <c r="AN43" s="72"/>
      <c r="AO43" s="72"/>
      <c r="AP43" s="72"/>
    </row>
    <row r="44">
      <c r="A44" s="61">
        <v>9.0</v>
      </c>
      <c r="B44" s="80" t="s">
        <v>132</v>
      </c>
      <c r="C44" s="74"/>
      <c r="D44" s="57"/>
      <c r="E44" s="57"/>
      <c r="F44" s="57"/>
      <c r="G44" s="57"/>
      <c r="H44" s="58"/>
      <c r="I44" s="58"/>
      <c r="J44" s="58"/>
      <c r="K44" s="2"/>
      <c r="L44" s="70"/>
      <c r="M44" s="58"/>
      <c r="N44" s="75"/>
      <c r="O44" s="70"/>
      <c r="P44" s="70"/>
      <c r="Q44" s="70"/>
      <c r="R44" s="70"/>
      <c r="S44" s="70"/>
      <c r="T44" s="70"/>
      <c r="U44" s="70"/>
      <c r="V44" s="81">
        <v>1.92153429E8</v>
      </c>
      <c r="W44" s="70"/>
      <c r="X44" s="70"/>
      <c r="Y44" s="70"/>
      <c r="Z44" s="70"/>
      <c r="AA44" s="70"/>
      <c r="AB44" s="70"/>
      <c r="AC44" s="70"/>
      <c r="AD44" s="70"/>
      <c r="AE44" s="71"/>
      <c r="AF44" s="70"/>
      <c r="AG44" s="70"/>
      <c r="AH44" s="70"/>
      <c r="AI44" s="70"/>
      <c r="AJ44" s="70"/>
      <c r="AK44" s="70"/>
      <c r="AL44" s="70"/>
      <c r="AM44" s="72"/>
      <c r="AN44" s="72"/>
      <c r="AO44" s="72"/>
      <c r="AP44" s="72"/>
    </row>
    <row r="45">
      <c r="A45" s="61">
        <v>10.0</v>
      </c>
      <c r="B45" s="82" t="s">
        <v>133</v>
      </c>
      <c r="C45" s="74"/>
      <c r="D45" s="57"/>
      <c r="E45" s="57"/>
      <c r="F45" s="57"/>
      <c r="G45" s="57"/>
      <c r="H45" s="58"/>
      <c r="I45" s="58"/>
      <c r="J45" s="58"/>
      <c r="K45" s="2"/>
      <c r="L45" s="70"/>
      <c r="M45" s="58"/>
      <c r="N45" s="75"/>
      <c r="O45" s="70"/>
      <c r="P45" s="70"/>
      <c r="Q45" s="70"/>
      <c r="R45" s="70"/>
      <c r="S45" s="70"/>
      <c r="T45" s="70"/>
      <c r="U45" s="70"/>
      <c r="V45" s="70"/>
      <c r="W45" s="83">
        <v>1.8E8</v>
      </c>
      <c r="X45" s="70"/>
      <c r="Y45" s="70"/>
      <c r="Z45" s="70"/>
      <c r="AA45" s="70"/>
      <c r="AB45" s="70"/>
      <c r="AC45" s="70"/>
      <c r="AD45" s="70"/>
      <c r="AE45" s="71"/>
      <c r="AF45" s="70"/>
      <c r="AG45" s="70"/>
      <c r="AH45" s="70"/>
      <c r="AI45" s="70"/>
      <c r="AJ45" s="70"/>
      <c r="AK45" s="70"/>
      <c r="AL45" s="70"/>
      <c r="AM45" s="72"/>
      <c r="AN45" s="72"/>
      <c r="AO45" s="72"/>
      <c r="AP45" s="72"/>
    </row>
    <row r="46">
      <c r="A46" s="61">
        <v>11.0</v>
      </c>
      <c r="B46" s="78" t="s">
        <v>134</v>
      </c>
      <c r="C46" s="74"/>
      <c r="D46" s="57"/>
      <c r="E46" s="57"/>
      <c r="F46" s="57"/>
      <c r="G46" s="57"/>
      <c r="H46" s="58"/>
      <c r="I46" s="58"/>
      <c r="J46" s="58"/>
      <c r="K46" s="2"/>
      <c r="L46" s="70"/>
      <c r="M46" s="58"/>
      <c r="N46" s="75"/>
      <c r="O46" s="70"/>
      <c r="P46" s="70"/>
      <c r="Q46" s="70"/>
      <c r="R46" s="70"/>
      <c r="S46" s="70"/>
      <c r="T46" s="70"/>
      <c r="U46" s="70"/>
      <c r="V46" s="70"/>
      <c r="W46" s="79">
        <v>1.40781713E8</v>
      </c>
      <c r="X46" s="70"/>
      <c r="Y46" s="70"/>
      <c r="Z46" s="70"/>
      <c r="AA46" s="70"/>
      <c r="AB46" s="70"/>
      <c r="AC46" s="70"/>
      <c r="AD46" s="70"/>
      <c r="AE46" s="71"/>
      <c r="AF46" s="70"/>
      <c r="AG46" s="70"/>
      <c r="AH46" s="70"/>
      <c r="AI46" s="70"/>
      <c r="AJ46" s="70"/>
      <c r="AK46" s="70"/>
      <c r="AL46" s="70"/>
      <c r="AM46" s="72"/>
      <c r="AN46" s="72"/>
      <c r="AO46" s="72"/>
      <c r="AP46" s="72"/>
    </row>
    <row r="47">
      <c r="A47" s="61">
        <v>12.0</v>
      </c>
      <c r="B47" s="82" t="s">
        <v>135</v>
      </c>
      <c r="C47" s="74"/>
      <c r="D47" s="57"/>
      <c r="E47" s="57"/>
      <c r="F47" s="57"/>
      <c r="G47" s="57"/>
      <c r="H47" s="58"/>
      <c r="I47" s="58"/>
      <c r="J47" s="58"/>
      <c r="K47" s="2"/>
      <c r="L47" s="70"/>
      <c r="M47" s="58"/>
      <c r="N47" s="75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83">
        <v>1.35E8</v>
      </c>
      <c r="Z47" s="70"/>
      <c r="AA47" s="70"/>
      <c r="AB47" s="70"/>
      <c r="AC47" s="70"/>
      <c r="AD47" s="70"/>
      <c r="AE47" s="71"/>
      <c r="AF47" s="70"/>
      <c r="AG47" s="70"/>
      <c r="AH47" s="70"/>
      <c r="AI47" s="70"/>
      <c r="AJ47" s="70"/>
      <c r="AK47" s="70"/>
      <c r="AL47" s="70"/>
      <c r="AM47" s="72"/>
      <c r="AN47" s="72"/>
      <c r="AO47" s="72"/>
      <c r="AP47" s="72"/>
    </row>
    <row r="48">
      <c r="A48" s="61">
        <v>13.0</v>
      </c>
      <c r="B48" s="80" t="s">
        <v>136</v>
      </c>
      <c r="C48" s="74"/>
      <c r="D48" s="57"/>
      <c r="E48" s="57"/>
      <c r="F48" s="57"/>
      <c r="G48" s="57"/>
      <c r="H48" s="58"/>
      <c r="I48" s="58"/>
      <c r="J48" s="58"/>
      <c r="K48" s="2"/>
      <c r="L48" s="70"/>
      <c r="M48" s="58"/>
      <c r="N48" s="75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81">
        <v>1.44115072E8</v>
      </c>
      <c r="Z48" s="70"/>
      <c r="AA48" s="70"/>
      <c r="AB48" s="70"/>
      <c r="AC48" s="70"/>
      <c r="AD48" s="70"/>
      <c r="AE48" s="71"/>
      <c r="AF48" s="70"/>
      <c r="AG48" s="70"/>
      <c r="AH48" s="70"/>
      <c r="AI48" s="70"/>
      <c r="AJ48" s="70"/>
      <c r="AK48" s="70"/>
      <c r="AL48" s="70"/>
      <c r="AM48" s="72"/>
      <c r="AN48" s="72"/>
      <c r="AO48" s="72"/>
      <c r="AP48" s="72"/>
    </row>
    <row r="49">
      <c r="A49" s="61">
        <v>14.0</v>
      </c>
      <c r="B49" s="80" t="s">
        <v>137</v>
      </c>
      <c r="C49" s="74"/>
      <c r="D49" s="57"/>
      <c r="E49" s="57"/>
      <c r="F49" s="57"/>
      <c r="G49" s="57"/>
      <c r="H49" s="58"/>
      <c r="I49" s="58"/>
      <c r="J49" s="58"/>
      <c r="K49" s="2"/>
      <c r="L49" s="70"/>
      <c r="M49" s="58"/>
      <c r="N49" s="75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81">
        <v>1.44115072E8</v>
      </c>
      <c r="AC49" s="70"/>
      <c r="AD49" s="70"/>
      <c r="AE49" s="71"/>
      <c r="AF49" s="70"/>
      <c r="AG49" s="70"/>
      <c r="AH49" s="70"/>
      <c r="AI49" s="70"/>
      <c r="AJ49" s="70"/>
      <c r="AK49" s="70"/>
      <c r="AL49" s="70"/>
      <c r="AM49" s="72"/>
      <c r="AN49" s="72"/>
      <c r="AO49" s="72"/>
      <c r="AP49" s="72"/>
    </row>
    <row r="50">
      <c r="A50" s="61">
        <v>15.0</v>
      </c>
      <c r="B50" s="84" t="s">
        <v>138</v>
      </c>
      <c r="C50" s="74"/>
      <c r="D50" s="57"/>
      <c r="E50" s="57"/>
      <c r="F50" s="57"/>
      <c r="G50" s="57"/>
      <c r="H50" s="58"/>
      <c r="I50" s="58"/>
      <c r="J50" s="58"/>
      <c r="K50" s="2"/>
      <c r="L50" s="70"/>
      <c r="M50" s="58"/>
      <c r="N50" s="75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85">
        <v>1.92E8</v>
      </c>
      <c r="AC50" s="70"/>
      <c r="AD50" s="70"/>
      <c r="AE50" s="71"/>
      <c r="AF50" s="70"/>
      <c r="AG50" s="70"/>
      <c r="AH50" s="70"/>
      <c r="AI50" s="70"/>
      <c r="AJ50" s="70"/>
      <c r="AK50" s="70"/>
      <c r="AL50" s="70"/>
      <c r="AM50" s="72"/>
      <c r="AN50" s="72"/>
      <c r="AO50" s="72"/>
      <c r="AP50" s="72"/>
    </row>
    <row r="51">
      <c r="A51" s="61">
        <v>16.0</v>
      </c>
      <c r="B51" s="82" t="s">
        <v>139</v>
      </c>
      <c r="C51" s="74"/>
      <c r="D51" s="57"/>
      <c r="E51" s="57"/>
      <c r="F51" s="57"/>
      <c r="G51" s="57"/>
      <c r="H51" s="58"/>
      <c r="I51" s="58"/>
      <c r="J51" s="58"/>
      <c r="K51" s="2"/>
      <c r="L51" s="70"/>
      <c r="M51" s="58"/>
      <c r="N51" s="75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83">
        <v>1.35E8</v>
      </c>
      <c r="AD51" s="70"/>
      <c r="AE51" s="71"/>
      <c r="AF51" s="70"/>
      <c r="AG51" s="70"/>
      <c r="AH51" s="70"/>
      <c r="AI51" s="70"/>
      <c r="AJ51" s="70"/>
      <c r="AK51" s="70"/>
      <c r="AL51" s="70"/>
      <c r="AM51" s="72"/>
      <c r="AN51" s="72"/>
      <c r="AO51" s="72"/>
      <c r="AP51" s="72"/>
    </row>
    <row r="52">
      <c r="A52" s="61">
        <v>17.0</v>
      </c>
      <c r="B52" s="84" t="s">
        <v>140</v>
      </c>
      <c r="C52" s="74"/>
      <c r="D52" s="57"/>
      <c r="E52" s="57"/>
      <c r="F52" s="57"/>
      <c r="G52" s="57"/>
      <c r="H52" s="58"/>
      <c r="I52" s="58"/>
      <c r="J52" s="58"/>
      <c r="K52" s="2"/>
      <c r="L52" s="70"/>
      <c r="M52" s="58"/>
      <c r="N52" s="75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85">
        <v>1.44E8</v>
      </c>
      <c r="AE52" s="71"/>
      <c r="AF52" s="70"/>
      <c r="AG52" s="70"/>
      <c r="AH52" s="70"/>
      <c r="AI52" s="70"/>
      <c r="AJ52" s="70"/>
      <c r="AK52" s="70"/>
      <c r="AL52" s="70"/>
      <c r="AM52" s="72"/>
      <c r="AN52" s="72"/>
      <c r="AO52" s="72"/>
      <c r="AP52" s="72"/>
    </row>
    <row r="53">
      <c r="A53" s="61">
        <v>18.0</v>
      </c>
      <c r="B53" s="84" t="s">
        <v>141</v>
      </c>
      <c r="C53" s="74"/>
      <c r="D53" s="57"/>
      <c r="E53" s="57"/>
      <c r="F53" s="57"/>
      <c r="G53" s="57"/>
      <c r="H53" s="58"/>
      <c r="I53" s="58"/>
      <c r="J53" s="58"/>
      <c r="K53" s="2"/>
      <c r="L53" s="70"/>
      <c r="M53" s="58"/>
      <c r="N53" s="75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1"/>
      <c r="AF53" s="85">
        <v>1.44E8</v>
      </c>
      <c r="AG53" s="70"/>
      <c r="AH53" s="70"/>
      <c r="AI53" s="70"/>
      <c r="AJ53" s="70"/>
      <c r="AK53" s="70"/>
      <c r="AL53" s="70"/>
      <c r="AM53" s="72"/>
      <c r="AN53" s="72"/>
      <c r="AO53" s="72"/>
      <c r="AP53" s="72"/>
    </row>
    <row r="54">
      <c r="A54" s="61">
        <v>19.0</v>
      </c>
      <c r="B54" s="86" t="s">
        <v>142</v>
      </c>
      <c r="C54" s="74"/>
      <c r="D54" s="57"/>
      <c r="E54" s="57"/>
      <c r="F54" s="57"/>
      <c r="G54" s="57"/>
      <c r="H54" s="58"/>
      <c r="I54" s="58"/>
      <c r="J54" s="58"/>
      <c r="K54" s="2"/>
      <c r="L54" s="70"/>
      <c r="M54" s="58"/>
      <c r="N54" s="75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85">
        <v>1.92E8</v>
      </c>
      <c r="AF54" s="70"/>
      <c r="AG54" s="70"/>
      <c r="AH54" s="70"/>
      <c r="AI54" s="70"/>
      <c r="AJ54" s="70"/>
      <c r="AK54" s="70"/>
      <c r="AL54" s="70"/>
      <c r="AM54" s="72"/>
      <c r="AN54" s="72"/>
      <c r="AO54" s="72"/>
      <c r="AP54" s="72"/>
    </row>
    <row r="55">
      <c r="A55" s="61">
        <v>20.0</v>
      </c>
      <c r="B55" s="87" t="s">
        <v>143</v>
      </c>
      <c r="C55" s="74"/>
      <c r="D55" s="57"/>
      <c r="E55" s="57"/>
      <c r="F55" s="57"/>
      <c r="G55" s="57"/>
      <c r="H55" s="58"/>
      <c r="I55" s="58"/>
      <c r="J55" s="58"/>
      <c r="K55" s="2"/>
      <c r="L55" s="70"/>
      <c r="M55" s="58"/>
      <c r="N55" s="75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1"/>
      <c r="AF55" s="85">
        <v>1.92E8</v>
      </c>
      <c r="AG55" s="70"/>
      <c r="AH55" s="70"/>
      <c r="AI55" s="70"/>
      <c r="AJ55" s="70"/>
      <c r="AK55" s="70"/>
      <c r="AL55" s="70"/>
      <c r="AM55" s="72"/>
      <c r="AN55" s="72"/>
      <c r="AO55" s="72"/>
      <c r="AP55" s="72"/>
    </row>
    <row r="56">
      <c r="A56" s="61">
        <v>21.0</v>
      </c>
      <c r="B56" s="86" t="s">
        <v>144</v>
      </c>
      <c r="C56" s="74"/>
      <c r="D56" s="57"/>
      <c r="E56" s="57"/>
      <c r="F56" s="57"/>
      <c r="G56" s="57"/>
      <c r="H56" s="58"/>
      <c r="I56" s="58"/>
      <c r="J56" s="58"/>
      <c r="K56" s="2"/>
      <c r="L56" s="70"/>
      <c r="M56" s="58"/>
      <c r="N56" s="75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1"/>
      <c r="AF56" s="70"/>
      <c r="AG56" s="70"/>
      <c r="AH56" s="85">
        <v>1.35E8</v>
      </c>
      <c r="AI56" s="70"/>
      <c r="AJ56" s="70"/>
      <c r="AK56" s="70"/>
      <c r="AL56" s="70"/>
      <c r="AM56" s="72"/>
      <c r="AN56" s="72"/>
      <c r="AO56" s="72"/>
      <c r="AP56" s="72"/>
    </row>
    <row r="57">
      <c r="A57" s="61">
        <v>22.0</v>
      </c>
      <c r="B57" s="87" t="s">
        <v>145</v>
      </c>
      <c r="C57" s="74"/>
      <c r="D57" s="57"/>
      <c r="E57" s="57"/>
      <c r="F57" s="57"/>
      <c r="G57" s="57"/>
      <c r="H57" s="58"/>
      <c r="I57" s="58"/>
      <c r="J57" s="58"/>
      <c r="K57" s="2"/>
      <c r="L57" s="70"/>
      <c r="M57" s="58"/>
      <c r="N57" s="75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1"/>
      <c r="AF57" s="70"/>
      <c r="AG57" s="70"/>
      <c r="AH57" s="70"/>
      <c r="AI57" s="85">
        <v>1.35E8</v>
      </c>
      <c r="AJ57" s="70"/>
      <c r="AK57" s="70"/>
      <c r="AL57" s="70"/>
      <c r="AM57" s="72"/>
      <c r="AN57" s="72"/>
      <c r="AO57" s="72"/>
      <c r="AP57" s="72"/>
    </row>
    <row r="58">
      <c r="A58" s="61">
        <v>23.0</v>
      </c>
      <c r="B58" s="86" t="s">
        <v>146</v>
      </c>
      <c r="C58" s="74"/>
      <c r="D58" s="57"/>
      <c r="E58" s="57"/>
      <c r="F58" s="57"/>
      <c r="G58" s="57"/>
      <c r="H58" s="58"/>
      <c r="I58" s="58"/>
      <c r="J58" s="58"/>
      <c r="K58" s="2"/>
      <c r="L58" s="70"/>
      <c r="M58" s="58"/>
      <c r="N58" s="75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1"/>
      <c r="AF58" s="70"/>
      <c r="AG58" s="70"/>
      <c r="AH58" s="70"/>
      <c r="AI58" s="70"/>
      <c r="AJ58" s="70"/>
      <c r="AK58" s="85">
        <v>1.35E8</v>
      </c>
      <c r="AL58" s="70"/>
      <c r="AM58" s="72"/>
      <c r="AN58" s="72"/>
      <c r="AO58" s="72"/>
      <c r="AP58" s="72"/>
    </row>
    <row r="59">
      <c r="A59" s="61">
        <v>24.0</v>
      </c>
      <c r="B59" s="87" t="s">
        <v>145</v>
      </c>
      <c r="C59" s="74"/>
      <c r="D59" s="57"/>
      <c r="E59" s="57"/>
      <c r="F59" s="57"/>
      <c r="G59" s="57"/>
      <c r="H59" s="58"/>
      <c r="I59" s="58"/>
      <c r="J59" s="58"/>
      <c r="K59" s="2"/>
      <c r="L59" s="70"/>
      <c r="M59" s="58"/>
      <c r="N59" s="75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1"/>
      <c r="AF59" s="70"/>
      <c r="AG59" s="70"/>
      <c r="AH59" s="70"/>
      <c r="AI59" s="70"/>
      <c r="AJ59" s="70"/>
      <c r="AK59" s="70"/>
      <c r="AL59" s="85">
        <v>1.35E8</v>
      </c>
      <c r="AM59" s="88"/>
      <c r="AN59" s="88"/>
      <c r="AO59" s="88"/>
      <c r="AP59" s="88"/>
    </row>
    <row r="60">
      <c r="A60" s="89"/>
      <c r="B60" s="89"/>
      <c r="C60" s="74"/>
      <c r="D60" s="57"/>
      <c r="E60" s="57"/>
      <c r="F60" s="57"/>
      <c r="G60" s="90"/>
      <c r="H60" s="90"/>
      <c r="I60" s="90"/>
      <c r="J60" s="90"/>
      <c r="K60" s="91"/>
      <c r="L60" s="92"/>
      <c r="M60" s="75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1"/>
      <c r="AE60" s="70"/>
      <c r="AF60" s="70"/>
      <c r="AG60" s="70"/>
      <c r="AH60" s="70"/>
      <c r="AI60" s="70"/>
      <c r="AJ60" s="70"/>
      <c r="AK60" s="70"/>
      <c r="AL60" s="72"/>
      <c r="AM60" s="72"/>
      <c r="AN60" s="72"/>
      <c r="AO60" s="72"/>
      <c r="AP60" s="72"/>
    </row>
    <row r="61">
      <c r="A61" s="89"/>
      <c r="B61" s="89"/>
      <c r="C61" s="74"/>
      <c r="D61" s="57"/>
      <c r="E61" s="57"/>
      <c r="F61" s="57"/>
      <c r="G61" s="90"/>
      <c r="H61" s="90"/>
      <c r="I61" s="90"/>
      <c r="J61" s="90"/>
      <c r="K61" s="91"/>
      <c r="L61" s="92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1"/>
      <c r="AD61" s="70"/>
      <c r="AE61" s="70"/>
      <c r="AF61" s="72"/>
      <c r="AG61" s="70"/>
      <c r="AH61" s="70"/>
      <c r="AI61" s="70"/>
      <c r="AJ61" s="70"/>
      <c r="AK61" s="70"/>
      <c r="AL61" s="72"/>
      <c r="AM61" s="72"/>
      <c r="AN61" s="72"/>
      <c r="AO61" s="72"/>
      <c r="AP61" s="72"/>
    </row>
    <row r="62">
      <c r="A62" s="93" t="s">
        <v>147</v>
      </c>
      <c r="B62" s="45"/>
      <c r="C62" s="74"/>
      <c r="D62" s="57"/>
      <c r="E62" s="57"/>
      <c r="F62" s="57"/>
      <c r="G62" s="90">
        <v>0.0</v>
      </c>
      <c r="H62" s="94"/>
      <c r="I62" s="94"/>
      <c r="J62" s="94"/>
      <c r="K62" s="94"/>
      <c r="L62" s="92">
        <f>SUM(L36:O61)</f>
        <v>566900000</v>
      </c>
      <c r="M62" s="94"/>
      <c r="N62" s="94"/>
      <c r="O62" s="94"/>
      <c r="P62" s="92">
        <f>SUM(P36:S61)</f>
        <v>570058950</v>
      </c>
      <c r="Q62" s="94"/>
      <c r="R62" s="94"/>
      <c r="S62" s="94"/>
      <c r="T62" s="92">
        <f>SUM(T36:W61)</f>
        <v>978966855</v>
      </c>
      <c r="U62" s="94"/>
      <c r="V62" s="94"/>
      <c r="W62" s="94"/>
      <c r="X62" s="92">
        <f>SUM(X36:AB61)</f>
        <v>615230144</v>
      </c>
      <c r="Y62" s="94"/>
      <c r="Z62" s="94"/>
      <c r="AA62" s="94"/>
      <c r="AB62" s="94"/>
      <c r="AC62" s="92">
        <f>SUM(AC36:AF61)</f>
        <v>807000000</v>
      </c>
      <c r="AD62" s="94"/>
      <c r="AE62" s="94"/>
      <c r="AF62" s="45"/>
      <c r="AG62" s="92">
        <f>SUM(AG36:AK61)</f>
        <v>405000000</v>
      </c>
      <c r="AH62" s="94"/>
      <c r="AI62" s="94"/>
      <c r="AJ62" s="94"/>
      <c r="AK62" s="45"/>
      <c r="AL62" s="92">
        <f>SUM(AL36:AP61)</f>
        <v>135000000</v>
      </c>
      <c r="AM62" s="94"/>
      <c r="AN62" s="94"/>
      <c r="AO62" s="94"/>
      <c r="AP62" s="45"/>
    </row>
    <row r="63">
      <c r="A63" s="93" t="s">
        <v>148</v>
      </c>
      <c r="B63" s="45"/>
      <c r="C63" s="74"/>
      <c r="D63" s="57"/>
      <c r="E63" s="57"/>
      <c r="F63" s="57"/>
      <c r="G63" s="92">
        <f>SUM(G62:AD62)</f>
        <v>3538155949</v>
      </c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4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</row>
    <row r="64">
      <c r="A64" s="96" t="s">
        <v>104</v>
      </c>
      <c r="B64" s="97" t="s">
        <v>149</v>
      </c>
      <c r="C64" s="98"/>
      <c r="D64" s="99">
        <f t="shared" ref="D64:Y64" si="4">SUM(D65:D1019)</f>
        <v>0</v>
      </c>
      <c r="E64" s="99">
        <f t="shared" si="4"/>
        <v>0</v>
      </c>
      <c r="F64" s="99">
        <f t="shared" si="4"/>
        <v>0</v>
      </c>
      <c r="G64" s="99">
        <f t="shared" si="4"/>
        <v>24000000</v>
      </c>
      <c r="H64" s="99">
        <f t="shared" si="4"/>
        <v>157126050</v>
      </c>
      <c r="I64" s="99">
        <f t="shared" si="4"/>
        <v>98631487</v>
      </c>
      <c r="J64" s="99">
        <f t="shared" si="4"/>
        <v>39600000</v>
      </c>
      <c r="K64" s="100">
        <f t="shared" si="4"/>
        <v>14080000</v>
      </c>
      <c r="L64" s="100">
        <f t="shared" si="4"/>
        <v>73236513</v>
      </c>
      <c r="M64" s="100">
        <f t="shared" si="4"/>
        <v>449341832</v>
      </c>
      <c r="N64" s="100">
        <f t="shared" si="4"/>
        <v>0</v>
      </c>
      <c r="O64" s="100">
        <f t="shared" si="4"/>
        <v>40000000</v>
      </c>
      <c r="P64" s="100">
        <f t="shared" si="4"/>
        <v>0</v>
      </c>
      <c r="Q64" s="100">
        <f t="shared" si="4"/>
        <v>0</v>
      </c>
      <c r="R64" s="100">
        <f t="shared" si="4"/>
        <v>114858000</v>
      </c>
      <c r="S64" s="100">
        <f t="shared" si="4"/>
        <v>0</v>
      </c>
      <c r="T64" s="100">
        <f t="shared" si="4"/>
        <v>0</v>
      </c>
      <c r="U64" s="100">
        <f t="shared" si="4"/>
        <v>0</v>
      </c>
      <c r="V64" s="100">
        <f t="shared" si="4"/>
        <v>0</v>
      </c>
      <c r="W64" s="100">
        <f t="shared" si="4"/>
        <v>0</v>
      </c>
      <c r="X64" s="100">
        <f t="shared" si="4"/>
        <v>0</v>
      </c>
      <c r="Y64" s="100">
        <f t="shared" si="4"/>
        <v>0</v>
      </c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</row>
    <row r="65">
      <c r="A65" s="102">
        <v>1.0</v>
      </c>
      <c r="B65" s="18" t="s">
        <v>150</v>
      </c>
      <c r="C65" s="74"/>
      <c r="D65" s="58"/>
      <c r="E65" s="63"/>
      <c r="F65" s="63"/>
      <c r="G65" s="63"/>
      <c r="H65" s="63"/>
      <c r="I65" s="63">
        <v>1.27E7</v>
      </c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42"/>
      <c r="AJ65" s="42"/>
      <c r="AK65" s="42"/>
      <c r="AL65" s="42"/>
      <c r="AM65" s="42"/>
      <c r="AN65" s="42"/>
      <c r="AO65" s="42"/>
      <c r="AP65" s="42"/>
    </row>
    <row r="66">
      <c r="A66" s="102">
        <v>2.0</v>
      </c>
      <c r="B66" s="18" t="s">
        <v>151</v>
      </c>
      <c r="C66" s="74"/>
      <c r="D66" s="58"/>
      <c r="E66" s="63"/>
      <c r="F66" s="63"/>
      <c r="G66" s="63"/>
      <c r="H66" s="63"/>
      <c r="I66" s="103">
        <v>4.8431487E7</v>
      </c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42"/>
      <c r="AJ66" s="42"/>
      <c r="AK66" s="42"/>
      <c r="AL66" s="42"/>
      <c r="AM66" s="42"/>
      <c r="AN66" s="42"/>
      <c r="AO66" s="42"/>
      <c r="AP66" s="42"/>
    </row>
    <row r="67">
      <c r="A67" s="102">
        <v>3.0</v>
      </c>
      <c r="B67" s="18" t="s">
        <v>152</v>
      </c>
      <c r="C67" s="74"/>
      <c r="D67" s="74"/>
      <c r="E67" s="74"/>
      <c r="F67" s="63"/>
      <c r="G67" s="104"/>
      <c r="H67" s="63"/>
      <c r="I67" s="105">
        <v>7500000.0</v>
      </c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42"/>
      <c r="AJ67" s="42"/>
      <c r="AK67" s="42"/>
      <c r="AL67" s="42"/>
      <c r="AM67" s="42"/>
      <c r="AN67" s="42"/>
      <c r="AO67" s="42"/>
      <c r="AP67" s="42"/>
    </row>
    <row r="68">
      <c r="A68" s="102">
        <v>4.0</v>
      </c>
      <c r="B68" s="18" t="s">
        <v>153</v>
      </c>
      <c r="C68" s="74"/>
      <c r="D68" s="74"/>
      <c r="E68" s="74"/>
      <c r="F68" s="63"/>
      <c r="G68" s="106">
        <v>9000000.0</v>
      </c>
      <c r="H68" s="105">
        <v>1.1088605E8</v>
      </c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42"/>
      <c r="AJ68" s="42"/>
      <c r="AK68" s="42"/>
      <c r="AL68" s="42"/>
      <c r="AM68" s="42"/>
      <c r="AN68" s="42"/>
      <c r="AO68" s="42"/>
      <c r="AP68" s="42"/>
    </row>
    <row r="69">
      <c r="A69" s="102">
        <v>5.0</v>
      </c>
      <c r="B69" s="18" t="s">
        <v>154</v>
      </c>
      <c r="C69" s="74"/>
      <c r="D69" s="74"/>
      <c r="E69" s="74"/>
      <c r="F69" s="104"/>
      <c r="G69" s="63"/>
      <c r="H69" s="63"/>
      <c r="I69" s="2"/>
      <c r="J69" s="63">
        <v>3.96E7</v>
      </c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42"/>
      <c r="AJ69" s="42"/>
      <c r="AK69" s="42"/>
      <c r="AL69" s="42"/>
      <c r="AM69" s="42"/>
      <c r="AN69" s="42"/>
      <c r="AO69" s="42"/>
      <c r="AP69" s="42"/>
    </row>
    <row r="70">
      <c r="A70" s="102">
        <v>6.0</v>
      </c>
      <c r="B70" s="18" t="s">
        <v>155</v>
      </c>
      <c r="C70" s="74"/>
      <c r="D70" s="74"/>
      <c r="E70" s="74"/>
      <c r="F70" s="74"/>
      <c r="G70" s="107">
        <v>1.5E7</v>
      </c>
      <c r="H70" s="63"/>
      <c r="I70" s="2"/>
      <c r="J70" s="74"/>
      <c r="K70" s="63">
        <v>1.408E7</v>
      </c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42"/>
      <c r="AJ70" s="42"/>
      <c r="AK70" s="42"/>
      <c r="AL70" s="42"/>
      <c r="AM70" s="42"/>
      <c r="AN70" s="42"/>
      <c r="AO70" s="42"/>
      <c r="AP70" s="42"/>
    </row>
    <row r="71">
      <c r="A71" s="102">
        <v>7.0</v>
      </c>
      <c r="B71" s="18" t="s">
        <v>156</v>
      </c>
      <c r="C71" s="74"/>
      <c r="D71" s="74"/>
      <c r="E71" s="74"/>
      <c r="F71" s="74"/>
      <c r="G71" s="63"/>
      <c r="H71" s="105">
        <v>4.524E7</v>
      </c>
      <c r="I71" s="63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42"/>
      <c r="AJ71" s="42"/>
      <c r="AK71" s="42"/>
      <c r="AL71" s="42"/>
      <c r="AM71" s="42"/>
      <c r="AN71" s="42"/>
      <c r="AO71" s="42"/>
      <c r="AP71" s="42"/>
    </row>
    <row r="72">
      <c r="A72" s="102">
        <v>8.0</v>
      </c>
      <c r="B72" s="18" t="s">
        <v>157</v>
      </c>
      <c r="C72" s="74"/>
      <c r="D72" s="74"/>
      <c r="E72" s="74"/>
      <c r="F72" s="74"/>
      <c r="G72" s="63"/>
      <c r="H72" s="74"/>
      <c r="I72" s="63">
        <v>3.0E7</v>
      </c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42"/>
      <c r="AJ72" s="42"/>
      <c r="AK72" s="42"/>
      <c r="AL72" s="42"/>
      <c r="AM72" s="42"/>
      <c r="AN72" s="42"/>
      <c r="AO72" s="42"/>
      <c r="AP72" s="42"/>
    </row>
    <row r="73">
      <c r="A73" s="102">
        <v>9.0</v>
      </c>
      <c r="B73" s="18" t="s">
        <v>158</v>
      </c>
      <c r="C73" s="74"/>
      <c r="D73" s="74"/>
      <c r="E73" s="74"/>
      <c r="F73" s="74"/>
      <c r="G73" s="63"/>
      <c r="H73" s="105">
        <v>1000000.0</v>
      </c>
      <c r="I73" s="74"/>
      <c r="J73" s="63"/>
      <c r="K73" s="74"/>
      <c r="L73" s="63">
        <v>2.228114E7</v>
      </c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42"/>
      <c r="AJ73" s="42"/>
      <c r="AK73" s="42"/>
      <c r="AL73" s="42"/>
      <c r="AM73" s="42"/>
      <c r="AN73" s="42"/>
      <c r="AO73" s="42"/>
      <c r="AP73" s="42"/>
    </row>
    <row r="74">
      <c r="A74" s="102">
        <v>10.0</v>
      </c>
      <c r="B74" s="18" t="s">
        <v>159</v>
      </c>
      <c r="C74" s="74"/>
      <c r="D74" s="74"/>
      <c r="E74" s="74"/>
      <c r="F74" s="74"/>
      <c r="G74" s="63"/>
      <c r="H74" s="74"/>
      <c r="I74" s="74"/>
      <c r="J74" s="63"/>
      <c r="K74" s="74"/>
      <c r="L74" s="63">
        <v>5.0955373E7</v>
      </c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42"/>
      <c r="AJ74" s="42"/>
      <c r="AK74" s="42"/>
      <c r="AL74" s="42"/>
      <c r="AM74" s="42"/>
      <c r="AN74" s="42"/>
      <c r="AO74" s="42"/>
      <c r="AP74" s="42"/>
    </row>
    <row r="75">
      <c r="A75" s="102">
        <v>11.0</v>
      </c>
      <c r="B75" s="18" t="s">
        <v>160</v>
      </c>
      <c r="C75" s="74"/>
      <c r="D75" s="74"/>
      <c r="E75" s="74"/>
      <c r="F75" s="74"/>
      <c r="G75" s="74"/>
      <c r="H75" s="57"/>
      <c r="I75" s="74"/>
      <c r="J75" s="63"/>
      <c r="K75" s="74"/>
      <c r="L75" s="74"/>
      <c r="M75" s="63">
        <v>2.58622E8</v>
      </c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42"/>
      <c r="AJ75" s="42"/>
      <c r="AK75" s="42"/>
      <c r="AL75" s="42"/>
      <c r="AM75" s="42"/>
      <c r="AN75" s="42"/>
      <c r="AO75" s="42"/>
      <c r="AP75" s="42"/>
    </row>
    <row r="76">
      <c r="A76" s="102">
        <v>13.0</v>
      </c>
      <c r="B76" s="18" t="s">
        <v>161</v>
      </c>
      <c r="C76" s="74"/>
      <c r="D76" s="74"/>
      <c r="E76" s="74"/>
      <c r="F76" s="74"/>
      <c r="G76" s="74"/>
      <c r="H76" s="74"/>
      <c r="I76" s="74"/>
      <c r="J76" s="57"/>
      <c r="K76" s="74"/>
      <c r="L76" s="74"/>
      <c r="M76" s="63">
        <v>6.8819832E7</v>
      </c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42"/>
      <c r="AJ76" s="42"/>
      <c r="AK76" s="42"/>
      <c r="AL76" s="42"/>
      <c r="AM76" s="42"/>
      <c r="AN76" s="42"/>
      <c r="AO76" s="42"/>
      <c r="AP76" s="42"/>
    </row>
    <row r="77">
      <c r="A77" s="102">
        <v>14.0</v>
      </c>
      <c r="B77" s="18" t="s">
        <v>162</v>
      </c>
      <c r="C77" s="74"/>
      <c r="D77" s="74"/>
      <c r="E77" s="74"/>
      <c r="F77" s="74"/>
      <c r="G77" s="74"/>
      <c r="H77" s="74"/>
      <c r="I77" s="74"/>
      <c r="J77" s="63"/>
      <c r="K77" s="74"/>
      <c r="L77" s="74"/>
      <c r="M77" s="63">
        <v>1.219E8</v>
      </c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42"/>
      <c r="AJ77" s="42"/>
      <c r="AK77" s="42"/>
      <c r="AL77" s="42"/>
      <c r="AM77" s="42"/>
      <c r="AN77" s="42"/>
      <c r="AO77" s="42"/>
      <c r="AP77" s="42"/>
    </row>
    <row r="78">
      <c r="A78" s="102">
        <v>15.0</v>
      </c>
      <c r="B78" s="18" t="s">
        <v>163</v>
      </c>
      <c r="C78" s="74"/>
      <c r="D78" s="74"/>
      <c r="E78" s="74"/>
      <c r="F78" s="74"/>
      <c r="G78" s="74"/>
      <c r="H78" s="74"/>
      <c r="I78" s="74"/>
      <c r="J78" s="63"/>
      <c r="K78" s="74"/>
      <c r="L78" s="74"/>
      <c r="M78" s="74"/>
      <c r="N78" s="74"/>
      <c r="O78" s="74"/>
      <c r="P78" s="74"/>
      <c r="Q78" s="74"/>
      <c r="R78" s="104">
        <v>1.14858E8</v>
      </c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42"/>
      <c r="AJ78" s="42"/>
      <c r="AK78" s="42"/>
      <c r="AL78" s="42"/>
      <c r="AM78" s="42"/>
      <c r="AN78" s="42"/>
      <c r="AO78" s="42"/>
      <c r="AP78" s="42"/>
    </row>
    <row r="79">
      <c r="A79" s="102">
        <v>16.0</v>
      </c>
      <c r="B79" s="18" t="s">
        <v>164</v>
      </c>
      <c r="C79" s="74"/>
      <c r="D79" s="74"/>
      <c r="E79" s="74"/>
      <c r="F79" s="74"/>
      <c r="G79" s="74"/>
      <c r="H79" s="74"/>
      <c r="I79" s="74"/>
      <c r="J79" s="63"/>
      <c r="K79" s="63"/>
      <c r="L79" s="74"/>
      <c r="M79" s="74"/>
      <c r="N79" s="74"/>
      <c r="O79" s="104">
        <v>4.0E7</v>
      </c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</row>
    <row r="80">
      <c r="A80" s="102">
        <v>17.0</v>
      </c>
      <c r="B80" s="18"/>
      <c r="C80" s="74"/>
      <c r="D80" s="74"/>
      <c r="E80" s="74"/>
      <c r="F80" s="74"/>
      <c r="G80" s="74"/>
      <c r="H80" s="74"/>
      <c r="I80" s="74"/>
      <c r="J80" s="63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</row>
    <row r="81">
      <c r="A81" s="108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</row>
    <row r="82">
      <c r="A82" s="108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</row>
    <row r="83">
      <c r="A83" s="108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</row>
    <row r="84">
      <c r="A84" s="108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</row>
    <row r="85">
      <c r="A85" s="108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</row>
    <row r="86">
      <c r="A86" s="108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</row>
    <row r="87">
      <c r="A87" s="108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</row>
    <row r="88">
      <c r="A88" s="108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</row>
    <row r="89">
      <c r="A89" s="108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</row>
    <row r="90">
      <c r="A90" s="108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</row>
    <row r="91">
      <c r="A91" s="108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</row>
    <row r="92">
      <c r="A92" s="108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</row>
    <row r="93">
      <c r="A93" s="108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</row>
    <row r="94">
      <c r="A94" s="108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</row>
    <row r="95">
      <c r="A95" s="108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</row>
    <row r="96">
      <c r="A96" s="108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</row>
    <row r="97">
      <c r="A97" s="108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</row>
    <row r="98">
      <c r="A98" s="108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</row>
    <row r="99">
      <c r="A99" s="108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</row>
    <row r="100">
      <c r="A100" s="108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</row>
    <row r="101">
      <c r="A101" s="108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</row>
    <row r="102">
      <c r="A102" s="108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</row>
    <row r="103">
      <c r="A103" s="108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</row>
    <row r="104">
      <c r="A104" s="108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</row>
    <row r="105">
      <c r="A105" s="108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</row>
    <row r="106">
      <c r="A106" s="108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</row>
    <row r="107">
      <c r="A107" s="108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</row>
    <row r="108">
      <c r="A108" s="108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</row>
    <row r="109">
      <c r="A109" s="108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</row>
    <row r="110">
      <c r="A110" s="108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</row>
    <row r="111">
      <c r="A111" s="108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</row>
    <row r="112">
      <c r="A112" s="108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</row>
    <row r="113">
      <c r="A113" s="108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</row>
    <row r="114">
      <c r="A114" s="108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</row>
    <row r="115">
      <c r="A115" s="108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</row>
    <row r="116">
      <c r="A116" s="108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</row>
    <row r="117">
      <c r="A117" s="108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</row>
    <row r="118">
      <c r="A118" s="108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</row>
    <row r="119">
      <c r="A119" s="108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</row>
    <row r="120">
      <c r="A120" s="108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</row>
    <row r="121">
      <c r="A121" s="108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</row>
    <row r="122">
      <c r="A122" s="108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</row>
    <row r="123">
      <c r="A123" s="108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</row>
    <row r="124">
      <c r="A124" s="108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</row>
    <row r="125">
      <c r="A125" s="108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</row>
    <row r="126">
      <c r="A126" s="108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</row>
    <row r="127">
      <c r="A127" s="108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</row>
    <row r="128">
      <c r="A128" s="108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</row>
    <row r="129">
      <c r="A129" s="108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</row>
    <row r="130">
      <c r="A130" s="108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</row>
    <row r="131">
      <c r="A131" s="108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</row>
    <row r="132">
      <c r="A132" s="108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</row>
    <row r="133">
      <c r="A133" s="108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</row>
    <row r="134">
      <c r="A134" s="108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</row>
    <row r="135">
      <c r="A135" s="108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</row>
    <row r="136">
      <c r="A136" s="108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</row>
    <row r="137">
      <c r="A137" s="108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</row>
    <row r="138">
      <c r="A138" s="108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</row>
    <row r="139">
      <c r="A139" s="108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</row>
    <row r="140">
      <c r="A140" s="108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</row>
    <row r="141">
      <c r="A141" s="108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</row>
    <row r="142">
      <c r="A142" s="108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</row>
    <row r="143">
      <c r="A143" s="108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</row>
    <row r="144">
      <c r="A144" s="108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</row>
    <row r="145">
      <c r="A145" s="108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</row>
    <row r="146">
      <c r="A146" s="108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</row>
    <row r="147">
      <c r="A147" s="108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</row>
    <row r="148">
      <c r="A148" s="108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</row>
    <row r="149">
      <c r="A149" s="108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</row>
    <row r="150">
      <c r="A150" s="108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</row>
    <row r="151">
      <c r="A151" s="108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</row>
    <row r="152">
      <c r="A152" s="108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</row>
    <row r="153">
      <c r="A153" s="108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</row>
    <row r="154">
      <c r="A154" s="108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</row>
    <row r="155">
      <c r="A155" s="108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</row>
    <row r="156">
      <c r="A156" s="108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</row>
    <row r="157">
      <c r="A157" s="108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</row>
    <row r="158">
      <c r="A158" s="108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</row>
    <row r="159">
      <c r="A159" s="108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</row>
    <row r="160">
      <c r="A160" s="108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</row>
    <row r="161">
      <c r="A161" s="108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</row>
    <row r="162">
      <c r="A162" s="108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</row>
    <row r="163">
      <c r="A163" s="108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</row>
    <row r="164">
      <c r="A164" s="108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</row>
    <row r="165">
      <c r="A165" s="108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</row>
    <row r="166">
      <c r="A166" s="108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</row>
    <row r="167">
      <c r="A167" s="108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</row>
    <row r="168">
      <c r="A168" s="108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</row>
    <row r="169">
      <c r="A169" s="108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</row>
    <row r="170">
      <c r="A170" s="108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</row>
    <row r="171">
      <c r="A171" s="108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</row>
    <row r="172">
      <c r="A172" s="108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</row>
    <row r="173">
      <c r="A173" s="108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</row>
    <row r="174">
      <c r="A174" s="108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</row>
    <row r="175">
      <c r="A175" s="108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</row>
    <row r="176">
      <c r="A176" s="108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</row>
    <row r="177">
      <c r="A177" s="108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</row>
    <row r="178">
      <c r="A178" s="108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</row>
    <row r="179">
      <c r="A179" s="108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</row>
    <row r="180">
      <c r="A180" s="108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</row>
    <row r="181">
      <c r="A181" s="108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</row>
    <row r="182">
      <c r="A182" s="108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</row>
    <row r="183">
      <c r="A183" s="108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</row>
    <row r="184">
      <c r="A184" s="108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</row>
    <row r="185">
      <c r="A185" s="108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</row>
    <row r="186">
      <c r="A186" s="108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</row>
    <row r="187">
      <c r="A187" s="108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</row>
    <row r="188">
      <c r="A188" s="108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</row>
    <row r="189">
      <c r="A189" s="108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</row>
    <row r="190">
      <c r="A190" s="108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</row>
    <row r="191">
      <c r="A191" s="108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</row>
    <row r="192">
      <c r="A192" s="108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</row>
    <row r="193">
      <c r="A193" s="108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</row>
    <row r="194">
      <c r="A194" s="108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</row>
    <row r="195">
      <c r="A195" s="108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</row>
    <row r="196">
      <c r="A196" s="108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</row>
    <row r="197">
      <c r="A197" s="108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</row>
    <row r="198">
      <c r="A198" s="108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</row>
    <row r="199">
      <c r="A199" s="108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</row>
    <row r="200">
      <c r="A200" s="108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</row>
    <row r="201">
      <c r="A201" s="108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</row>
    <row r="202">
      <c r="A202" s="108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</row>
    <row r="203">
      <c r="A203" s="108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</row>
    <row r="204">
      <c r="A204" s="108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</row>
    <row r="205">
      <c r="A205" s="108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</row>
    <row r="206">
      <c r="A206" s="108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</row>
    <row r="207">
      <c r="A207" s="108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</row>
    <row r="208">
      <c r="A208" s="108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</row>
    <row r="209">
      <c r="A209" s="108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</row>
    <row r="210">
      <c r="A210" s="108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</row>
    <row r="211">
      <c r="A211" s="108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</row>
    <row r="212">
      <c r="A212" s="108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</row>
    <row r="213">
      <c r="A213" s="108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</row>
    <row r="214">
      <c r="A214" s="108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</row>
    <row r="215">
      <c r="A215" s="108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</row>
    <row r="216">
      <c r="A216" s="108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</row>
    <row r="217">
      <c r="A217" s="108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</row>
    <row r="218">
      <c r="A218" s="108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</row>
    <row r="219">
      <c r="A219" s="108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</row>
    <row r="220">
      <c r="A220" s="108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</row>
    <row r="221">
      <c r="A221" s="108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</row>
    <row r="222">
      <c r="A222" s="108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</row>
    <row r="223">
      <c r="A223" s="108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</row>
    <row r="224">
      <c r="A224" s="108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</row>
    <row r="225">
      <c r="A225" s="108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</row>
    <row r="226">
      <c r="A226" s="108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</row>
    <row r="227">
      <c r="A227" s="108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</row>
    <row r="228">
      <c r="A228" s="108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</row>
    <row r="229">
      <c r="A229" s="108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</row>
    <row r="230">
      <c r="A230" s="108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</row>
    <row r="231">
      <c r="A231" s="108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</row>
    <row r="232">
      <c r="A232" s="108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</row>
    <row r="233">
      <c r="A233" s="108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</row>
    <row r="234">
      <c r="A234" s="108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</row>
    <row r="235">
      <c r="A235" s="108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</row>
    <row r="236">
      <c r="A236" s="108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</row>
    <row r="237">
      <c r="A237" s="108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</row>
    <row r="238">
      <c r="A238" s="108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</row>
    <row r="239">
      <c r="A239" s="108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</row>
    <row r="240">
      <c r="A240" s="108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</row>
    <row r="241">
      <c r="A241" s="108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</row>
    <row r="242">
      <c r="A242" s="108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</row>
    <row r="243">
      <c r="A243" s="108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</row>
    <row r="244">
      <c r="A244" s="108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</row>
    <row r="245">
      <c r="A245" s="108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</row>
    <row r="246">
      <c r="A246" s="108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</row>
    <row r="247">
      <c r="A247" s="108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</row>
    <row r="248">
      <c r="A248" s="108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</row>
    <row r="249">
      <c r="A249" s="108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</row>
    <row r="250">
      <c r="A250" s="108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</row>
    <row r="251">
      <c r="A251" s="108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</row>
    <row r="252">
      <c r="A252" s="108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</row>
    <row r="253">
      <c r="A253" s="108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</row>
    <row r="254">
      <c r="A254" s="108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</row>
    <row r="255">
      <c r="A255" s="108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</row>
    <row r="256">
      <c r="A256" s="108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</row>
    <row r="257">
      <c r="A257" s="108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</row>
    <row r="258">
      <c r="A258" s="108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</row>
    <row r="259">
      <c r="A259" s="108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</row>
    <row r="260">
      <c r="A260" s="108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</row>
    <row r="261">
      <c r="A261" s="108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</row>
    <row r="262">
      <c r="A262" s="108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</row>
    <row r="263">
      <c r="A263" s="108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</row>
    <row r="264">
      <c r="A264" s="108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</row>
    <row r="265">
      <c r="A265" s="108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</row>
    <row r="266">
      <c r="A266" s="108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</row>
    <row r="267">
      <c r="A267" s="108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</row>
    <row r="268">
      <c r="A268" s="108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</row>
    <row r="269">
      <c r="A269" s="108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</row>
    <row r="270">
      <c r="A270" s="108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</row>
    <row r="271">
      <c r="A271" s="108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</row>
    <row r="272">
      <c r="A272" s="108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</row>
    <row r="273">
      <c r="A273" s="108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</row>
    <row r="274">
      <c r="A274" s="108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</row>
    <row r="275">
      <c r="A275" s="108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</row>
    <row r="276">
      <c r="A276" s="108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</row>
    <row r="277">
      <c r="A277" s="108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</row>
    <row r="278">
      <c r="A278" s="108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</row>
    <row r="279">
      <c r="A279" s="108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</row>
    <row r="280">
      <c r="A280" s="108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</row>
    <row r="281">
      <c r="A281" s="108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</row>
    <row r="282">
      <c r="A282" s="108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</row>
    <row r="283">
      <c r="A283" s="108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</row>
    <row r="284">
      <c r="A284" s="108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</row>
    <row r="285">
      <c r="A285" s="108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</row>
    <row r="286">
      <c r="A286" s="108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</row>
    <row r="287">
      <c r="A287" s="108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</row>
    <row r="288">
      <c r="A288" s="108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</row>
    <row r="289">
      <c r="A289" s="108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</row>
    <row r="290">
      <c r="A290" s="108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</row>
    <row r="291">
      <c r="A291" s="108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</row>
    <row r="292">
      <c r="A292" s="108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</row>
    <row r="293">
      <c r="A293" s="108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</row>
    <row r="294">
      <c r="A294" s="108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</row>
    <row r="295">
      <c r="A295" s="108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</row>
    <row r="296">
      <c r="A296" s="108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</row>
    <row r="297">
      <c r="A297" s="108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</row>
    <row r="298">
      <c r="A298" s="108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</row>
    <row r="299">
      <c r="A299" s="108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</row>
    <row r="300">
      <c r="A300" s="108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</row>
    <row r="301">
      <c r="A301" s="108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</row>
    <row r="302">
      <c r="A302" s="108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</row>
    <row r="303">
      <c r="A303" s="108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</row>
    <row r="304">
      <c r="A304" s="108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</row>
    <row r="305">
      <c r="A305" s="108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</row>
    <row r="306">
      <c r="A306" s="108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</row>
    <row r="307">
      <c r="A307" s="108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</row>
    <row r="308">
      <c r="A308" s="108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</row>
    <row r="309">
      <c r="A309" s="108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</row>
    <row r="310">
      <c r="A310" s="108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</row>
    <row r="311">
      <c r="A311" s="108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</row>
    <row r="312">
      <c r="A312" s="108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</row>
    <row r="313">
      <c r="A313" s="108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</row>
    <row r="314">
      <c r="A314" s="108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</row>
    <row r="315">
      <c r="A315" s="108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</row>
    <row r="316">
      <c r="A316" s="108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</row>
    <row r="317">
      <c r="A317" s="108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</row>
    <row r="318">
      <c r="A318" s="108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</row>
    <row r="319">
      <c r="A319" s="108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</row>
    <row r="320">
      <c r="A320" s="108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</row>
    <row r="321">
      <c r="A321" s="108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</row>
    <row r="322">
      <c r="A322" s="108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</row>
    <row r="323">
      <c r="A323" s="108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</row>
    <row r="324">
      <c r="A324" s="108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</row>
    <row r="325">
      <c r="A325" s="108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</row>
    <row r="326">
      <c r="A326" s="108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</row>
    <row r="327">
      <c r="A327" s="108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</row>
    <row r="328">
      <c r="A328" s="108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</row>
    <row r="329">
      <c r="A329" s="108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</row>
    <row r="330">
      <c r="A330" s="108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</row>
    <row r="331">
      <c r="A331" s="108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</row>
    <row r="332">
      <c r="A332" s="108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</row>
    <row r="333">
      <c r="A333" s="108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</row>
    <row r="334">
      <c r="A334" s="108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</row>
    <row r="335">
      <c r="A335" s="108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</row>
    <row r="336">
      <c r="A336" s="108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</row>
    <row r="337">
      <c r="A337" s="108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</row>
    <row r="338">
      <c r="A338" s="108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</row>
    <row r="339">
      <c r="A339" s="108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</row>
    <row r="340">
      <c r="A340" s="108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</row>
    <row r="341">
      <c r="A341" s="108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</row>
    <row r="342">
      <c r="A342" s="108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</row>
    <row r="343">
      <c r="A343" s="108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</row>
    <row r="344">
      <c r="A344" s="108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</row>
    <row r="345">
      <c r="A345" s="108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</row>
    <row r="346">
      <c r="A346" s="108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</row>
    <row r="347">
      <c r="A347" s="108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</row>
    <row r="348">
      <c r="A348" s="108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</row>
    <row r="349">
      <c r="A349" s="108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</row>
    <row r="350">
      <c r="A350" s="108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</row>
    <row r="351">
      <c r="A351" s="108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</row>
    <row r="352">
      <c r="A352" s="108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</row>
    <row r="353">
      <c r="A353" s="108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</row>
    <row r="354">
      <c r="A354" s="108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</row>
    <row r="355">
      <c r="A355" s="108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</row>
    <row r="356">
      <c r="A356" s="108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</row>
    <row r="357">
      <c r="A357" s="108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</row>
    <row r="358">
      <c r="A358" s="108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</row>
    <row r="359">
      <c r="A359" s="108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</row>
    <row r="360">
      <c r="A360" s="108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</row>
    <row r="361">
      <c r="A361" s="108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</row>
    <row r="362">
      <c r="A362" s="108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</row>
    <row r="363">
      <c r="A363" s="108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</row>
    <row r="364">
      <c r="A364" s="108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</row>
    <row r="365">
      <c r="A365" s="108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</row>
    <row r="366">
      <c r="A366" s="108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</row>
    <row r="367">
      <c r="A367" s="108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</row>
    <row r="368">
      <c r="A368" s="108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</row>
    <row r="369">
      <c r="A369" s="108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</row>
    <row r="370">
      <c r="A370" s="108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</row>
    <row r="371">
      <c r="A371" s="108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</row>
    <row r="372">
      <c r="A372" s="108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</row>
    <row r="373">
      <c r="A373" s="108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</row>
    <row r="374">
      <c r="A374" s="108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</row>
    <row r="375">
      <c r="A375" s="108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</row>
    <row r="376">
      <c r="A376" s="108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</row>
    <row r="377">
      <c r="A377" s="108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</row>
    <row r="378">
      <c r="A378" s="108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</row>
    <row r="379">
      <c r="A379" s="108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</row>
    <row r="380">
      <c r="A380" s="108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</row>
    <row r="381">
      <c r="A381" s="108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</row>
    <row r="382">
      <c r="A382" s="108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</row>
    <row r="383">
      <c r="A383" s="108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</row>
    <row r="384">
      <c r="A384" s="108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</row>
    <row r="385">
      <c r="A385" s="108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</row>
    <row r="386">
      <c r="A386" s="108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</row>
    <row r="387">
      <c r="A387" s="108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</row>
    <row r="388">
      <c r="A388" s="108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</row>
    <row r="389">
      <c r="A389" s="108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</row>
    <row r="390">
      <c r="A390" s="108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</row>
    <row r="391">
      <c r="A391" s="108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</row>
    <row r="392">
      <c r="A392" s="108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</row>
    <row r="393">
      <c r="A393" s="108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</row>
    <row r="394">
      <c r="A394" s="108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</row>
    <row r="395">
      <c r="A395" s="108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</row>
    <row r="396">
      <c r="A396" s="108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</row>
    <row r="397">
      <c r="A397" s="108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</row>
    <row r="398">
      <c r="A398" s="108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</row>
    <row r="399">
      <c r="A399" s="108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</row>
    <row r="400">
      <c r="A400" s="108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</row>
    <row r="401">
      <c r="A401" s="108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</row>
    <row r="402">
      <c r="A402" s="108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</row>
    <row r="403">
      <c r="A403" s="108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</row>
    <row r="404">
      <c r="A404" s="108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</row>
    <row r="405">
      <c r="A405" s="108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</row>
    <row r="406">
      <c r="A406" s="108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</row>
    <row r="407">
      <c r="A407" s="108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</row>
    <row r="408">
      <c r="A408" s="108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</row>
    <row r="409">
      <c r="A409" s="108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</row>
    <row r="410">
      <c r="A410" s="108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</row>
    <row r="411">
      <c r="A411" s="108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</row>
    <row r="412">
      <c r="A412" s="108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</row>
    <row r="413">
      <c r="A413" s="108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</row>
    <row r="414">
      <c r="A414" s="108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</row>
    <row r="415">
      <c r="A415" s="108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</row>
    <row r="416">
      <c r="A416" s="108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</row>
    <row r="417">
      <c r="A417" s="108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</row>
    <row r="418">
      <c r="A418" s="108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</row>
    <row r="419">
      <c r="A419" s="108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</row>
    <row r="420">
      <c r="A420" s="108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</row>
    <row r="421">
      <c r="A421" s="108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</row>
    <row r="422">
      <c r="A422" s="108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</row>
    <row r="423">
      <c r="A423" s="108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</row>
    <row r="424">
      <c r="A424" s="108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</row>
    <row r="425">
      <c r="A425" s="108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</row>
    <row r="426">
      <c r="A426" s="108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</row>
    <row r="427">
      <c r="A427" s="108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</row>
    <row r="428">
      <c r="A428" s="108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</row>
    <row r="429">
      <c r="A429" s="108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</row>
    <row r="430">
      <c r="A430" s="108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</row>
    <row r="431">
      <c r="A431" s="108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</row>
    <row r="432">
      <c r="A432" s="108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</row>
    <row r="433">
      <c r="A433" s="108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</row>
    <row r="434">
      <c r="A434" s="108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</row>
    <row r="435">
      <c r="A435" s="108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</row>
    <row r="436">
      <c r="A436" s="108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</row>
    <row r="437">
      <c r="A437" s="108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</row>
    <row r="438">
      <c r="A438" s="108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</row>
    <row r="439">
      <c r="A439" s="108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</row>
    <row r="440">
      <c r="A440" s="108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</row>
    <row r="441">
      <c r="A441" s="108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</row>
    <row r="442">
      <c r="A442" s="108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</row>
    <row r="443">
      <c r="A443" s="108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</row>
    <row r="444">
      <c r="A444" s="108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</row>
    <row r="445">
      <c r="A445" s="108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</row>
    <row r="446">
      <c r="A446" s="108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</row>
    <row r="447">
      <c r="A447" s="108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</row>
    <row r="448">
      <c r="A448" s="108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</row>
    <row r="449">
      <c r="A449" s="108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</row>
    <row r="450">
      <c r="A450" s="108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</row>
    <row r="451">
      <c r="A451" s="108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</row>
    <row r="452">
      <c r="A452" s="108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</row>
    <row r="453">
      <c r="A453" s="108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</row>
    <row r="454">
      <c r="A454" s="108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</row>
    <row r="455">
      <c r="A455" s="108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</row>
    <row r="456">
      <c r="A456" s="108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</row>
    <row r="457">
      <c r="A457" s="108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</row>
    <row r="458">
      <c r="A458" s="108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</row>
    <row r="459">
      <c r="A459" s="108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</row>
    <row r="460">
      <c r="A460" s="108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</row>
    <row r="461">
      <c r="A461" s="108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</row>
    <row r="462">
      <c r="A462" s="108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</row>
    <row r="463">
      <c r="A463" s="108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</row>
    <row r="464">
      <c r="A464" s="108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</row>
    <row r="465">
      <c r="A465" s="108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</row>
    <row r="466">
      <c r="A466" s="108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</row>
    <row r="467">
      <c r="A467" s="108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</row>
    <row r="468">
      <c r="A468" s="108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</row>
    <row r="469">
      <c r="A469" s="108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</row>
    <row r="470">
      <c r="A470" s="108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</row>
    <row r="471">
      <c r="A471" s="108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</row>
    <row r="472">
      <c r="A472" s="108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</row>
    <row r="473">
      <c r="A473" s="108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</row>
    <row r="474">
      <c r="A474" s="108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</row>
    <row r="475">
      <c r="A475" s="108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</row>
    <row r="476">
      <c r="A476" s="108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</row>
    <row r="477">
      <c r="A477" s="108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</row>
    <row r="478">
      <c r="A478" s="108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</row>
    <row r="479">
      <c r="A479" s="108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</row>
    <row r="480">
      <c r="A480" s="108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</row>
    <row r="481">
      <c r="A481" s="108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</row>
    <row r="482">
      <c r="A482" s="108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</row>
    <row r="483">
      <c r="A483" s="108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</row>
    <row r="484">
      <c r="A484" s="108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</row>
    <row r="485">
      <c r="A485" s="108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</row>
    <row r="486">
      <c r="A486" s="108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</row>
    <row r="487">
      <c r="A487" s="108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</row>
    <row r="488">
      <c r="A488" s="108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</row>
    <row r="489">
      <c r="A489" s="108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</row>
    <row r="490">
      <c r="A490" s="108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</row>
    <row r="491">
      <c r="A491" s="108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</row>
    <row r="492">
      <c r="A492" s="108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</row>
    <row r="493">
      <c r="A493" s="108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</row>
    <row r="494">
      <c r="A494" s="108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</row>
    <row r="495">
      <c r="A495" s="108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</row>
    <row r="496">
      <c r="A496" s="108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</row>
    <row r="497">
      <c r="A497" s="108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</row>
    <row r="498">
      <c r="A498" s="108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</row>
    <row r="499">
      <c r="A499" s="108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</row>
    <row r="500">
      <c r="A500" s="108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</row>
    <row r="501">
      <c r="A501" s="108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</row>
    <row r="502">
      <c r="A502" s="108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</row>
    <row r="503">
      <c r="A503" s="108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</row>
    <row r="504">
      <c r="A504" s="108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</row>
    <row r="505">
      <c r="A505" s="108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</row>
    <row r="506">
      <c r="A506" s="108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</row>
    <row r="507">
      <c r="A507" s="108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</row>
    <row r="508">
      <c r="A508" s="108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</row>
    <row r="509">
      <c r="A509" s="108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</row>
    <row r="510">
      <c r="A510" s="108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</row>
    <row r="511">
      <c r="A511" s="108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</row>
    <row r="512">
      <c r="A512" s="108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</row>
    <row r="513">
      <c r="A513" s="108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</row>
    <row r="514">
      <c r="A514" s="108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</row>
    <row r="515">
      <c r="A515" s="108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</row>
    <row r="516">
      <c r="A516" s="108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</row>
    <row r="517">
      <c r="A517" s="108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</row>
    <row r="518">
      <c r="A518" s="108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</row>
    <row r="519">
      <c r="A519" s="108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</row>
    <row r="520">
      <c r="A520" s="108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</row>
    <row r="521">
      <c r="A521" s="108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</row>
    <row r="522">
      <c r="A522" s="108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</row>
    <row r="523">
      <c r="A523" s="108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</row>
    <row r="524">
      <c r="A524" s="108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</row>
    <row r="525">
      <c r="A525" s="108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</row>
    <row r="526">
      <c r="A526" s="108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</row>
    <row r="527">
      <c r="A527" s="108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</row>
    <row r="528">
      <c r="A528" s="108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</row>
    <row r="529">
      <c r="A529" s="108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</row>
    <row r="530">
      <c r="A530" s="108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</row>
    <row r="531">
      <c r="A531" s="108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</row>
    <row r="532">
      <c r="A532" s="108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</row>
    <row r="533">
      <c r="A533" s="108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</row>
    <row r="534">
      <c r="A534" s="108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</row>
    <row r="535">
      <c r="A535" s="108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</row>
    <row r="536">
      <c r="A536" s="108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</row>
    <row r="537">
      <c r="A537" s="108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</row>
    <row r="538">
      <c r="A538" s="108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</row>
    <row r="539">
      <c r="A539" s="108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</row>
    <row r="540">
      <c r="A540" s="108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</row>
    <row r="541">
      <c r="A541" s="108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</row>
    <row r="542">
      <c r="A542" s="108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</row>
    <row r="543">
      <c r="A543" s="108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</row>
    <row r="544">
      <c r="A544" s="108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</row>
    <row r="545">
      <c r="A545" s="108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</row>
    <row r="546">
      <c r="A546" s="108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</row>
    <row r="547">
      <c r="A547" s="108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</row>
    <row r="548">
      <c r="A548" s="108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</row>
    <row r="549">
      <c r="A549" s="108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</row>
    <row r="550">
      <c r="A550" s="108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</row>
    <row r="551">
      <c r="A551" s="108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</row>
    <row r="552">
      <c r="A552" s="108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</row>
    <row r="553">
      <c r="A553" s="108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</row>
    <row r="554">
      <c r="A554" s="108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</row>
    <row r="555">
      <c r="A555" s="108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</row>
    <row r="556">
      <c r="A556" s="108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</row>
    <row r="557">
      <c r="A557" s="108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</row>
    <row r="558">
      <c r="A558" s="108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</row>
    <row r="559">
      <c r="A559" s="108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</row>
    <row r="560">
      <c r="A560" s="108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</row>
    <row r="561">
      <c r="A561" s="108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</row>
    <row r="562">
      <c r="A562" s="108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</row>
    <row r="563">
      <c r="A563" s="108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</row>
    <row r="564">
      <c r="A564" s="108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</row>
    <row r="565">
      <c r="A565" s="108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</row>
    <row r="566">
      <c r="A566" s="108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</row>
    <row r="567">
      <c r="A567" s="108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</row>
    <row r="568">
      <c r="A568" s="108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</row>
    <row r="569">
      <c r="A569" s="108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</row>
    <row r="570">
      <c r="A570" s="108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</row>
    <row r="571">
      <c r="A571" s="108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</row>
    <row r="572">
      <c r="A572" s="108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</row>
    <row r="573">
      <c r="A573" s="108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</row>
    <row r="574">
      <c r="A574" s="108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</row>
    <row r="575">
      <c r="A575" s="108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</row>
    <row r="576">
      <c r="A576" s="108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</row>
    <row r="577">
      <c r="A577" s="108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</row>
    <row r="578">
      <c r="A578" s="108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</row>
    <row r="579">
      <c r="A579" s="108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</row>
    <row r="580">
      <c r="A580" s="108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</row>
    <row r="581">
      <c r="A581" s="108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</row>
    <row r="582">
      <c r="A582" s="108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</row>
    <row r="583">
      <c r="A583" s="108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</row>
    <row r="584">
      <c r="A584" s="108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</row>
    <row r="585">
      <c r="A585" s="108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</row>
    <row r="586">
      <c r="A586" s="108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</row>
    <row r="587">
      <c r="A587" s="108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</row>
    <row r="588">
      <c r="A588" s="108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</row>
    <row r="589">
      <c r="A589" s="108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</row>
    <row r="590">
      <c r="A590" s="108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</row>
    <row r="591">
      <c r="A591" s="108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</row>
    <row r="592">
      <c r="A592" s="108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</row>
    <row r="593">
      <c r="A593" s="108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</row>
    <row r="594">
      <c r="A594" s="108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</row>
    <row r="595">
      <c r="A595" s="108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</row>
    <row r="596">
      <c r="A596" s="108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</row>
    <row r="597">
      <c r="A597" s="108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</row>
    <row r="598">
      <c r="A598" s="108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</row>
    <row r="599">
      <c r="A599" s="108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</row>
    <row r="600">
      <c r="A600" s="108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</row>
    <row r="601">
      <c r="A601" s="108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</row>
    <row r="602">
      <c r="A602" s="108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</row>
    <row r="603">
      <c r="A603" s="108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</row>
    <row r="604">
      <c r="A604" s="108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</row>
    <row r="605">
      <c r="A605" s="108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</row>
    <row r="606">
      <c r="A606" s="108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</row>
    <row r="607">
      <c r="A607" s="108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</row>
    <row r="608">
      <c r="A608" s="108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</row>
    <row r="609">
      <c r="A609" s="108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</row>
    <row r="610">
      <c r="A610" s="108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</row>
    <row r="611">
      <c r="A611" s="108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</row>
    <row r="612">
      <c r="A612" s="108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</row>
    <row r="613">
      <c r="A613" s="108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</row>
    <row r="614">
      <c r="A614" s="108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</row>
    <row r="615">
      <c r="A615" s="108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</row>
    <row r="616">
      <c r="A616" s="108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</row>
    <row r="617">
      <c r="A617" s="108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</row>
    <row r="618">
      <c r="A618" s="108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</row>
    <row r="619">
      <c r="A619" s="108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</row>
    <row r="620">
      <c r="A620" s="108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</row>
    <row r="621">
      <c r="A621" s="108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</row>
    <row r="622">
      <c r="A622" s="108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</row>
    <row r="623">
      <c r="A623" s="108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</row>
    <row r="624">
      <c r="A624" s="108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</row>
    <row r="625">
      <c r="A625" s="108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</row>
    <row r="626">
      <c r="A626" s="108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</row>
    <row r="627">
      <c r="A627" s="108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</row>
    <row r="628">
      <c r="A628" s="108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</row>
    <row r="629">
      <c r="A629" s="108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</row>
    <row r="630">
      <c r="A630" s="108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</row>
    <row r="631">
      <c r="A631" s="108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</row>
    <row r="632">
      <c r="A632" s="108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</row>
    <row r="633">
      <c r="A633" s="108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</row>
    <row r="634">
      <c r="A634" s="108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</row>
    <row r="635">
      <c r="A635" s="108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</row>
    <row r="636">
      <c r="A636" s="108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</row>
    <row r="637">
      <c r="A637" s="108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</row>
    <row r="638">
      <c r="A638" s="108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</row>
    <row r="639">
      <c r="A639" s="108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</row>
    <row r="640">
      <c r="A640" s="108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</row>
    <row r="641">
      <c r="A641" s="108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</row>
    <row r="642">
      <c r="A642" s="108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</row>
    <row r="643">
      <c r="A643" s="108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</row>
    <row r="644">
      <c r="A644" s="108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</row>
    <row r="645">
      <c r="A645" s="108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</row>
    <row r="646">
      <c r="A646" s="108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</row>
    <row r="647">
      <c r="A647" s="108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</row>
    <row r="648">
      <c r="A648" s="108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</row>
    <row r="649">
      <c r="A649" s="108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</row>
    <row r="650">
      <c r="A650" s="108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</row>
    <row r="651">
      <c r="A651" s="108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</row>
    <row r="652">
      <c r="A652" s="108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</row>
    <row r="653">
      <c r="A653" s="108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</row>
    <row r="654">
      <c r="A654" s="108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</row>
    <row r="655">
      <c r="A655" s="108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</row>
    <row r="656">
      <c r="A656" s="108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</row>
    <row r="657">
      <c r="A657" s="108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</row>
    <row r="658">
      <c r="A658" s="108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</row>
    <row r="659">
      <c r="A659" s="108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</row>
    <row r="660">
      <c r="A660" s="108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</row>
    <row r="661">
      <c r="A661" s="108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</row>
    <row r="662">
      <c r="A662" s="108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</row>
    <row r="663">
      <c r="A663" s="108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</row>
    <row r="664">
      <c r="A664" s="108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</row>
    <row r="665">
      <c r="A665" s="108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</row>
    <row r="666">
      <c r="A666" s="108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</row>
    <row r="667">
      <c r="A667" s="108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</row>
    <row r="668">
      <c r="A668" s="108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</row>
    <row r="669">
      <c r="A669" s="108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</row>
    <row r="670">
      <c r="A670" s="108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</row>
    <row r="671">
      <c r="A671" s="108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</row>
    <row r="672">
      <c r="A672" s="108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</row>
    <row r="673">
      <c r="A673" s="108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</row>
    <row r="674">
      <c r="A674" s="108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</row>
    <row r="675">
      <c r="A675" s="108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</row>
    <row r="676">
      <c r="A676" s="108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</row>
    <row r="677">
      <c r="A677" s="108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</row>
    <row r="678">
      <c r="A678" s="108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</row>
    <row r="679">
      <c r="A679" s="108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</row>
    <row r="680">
      <c r="A680" s="108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</row>
    <row r="681">
      <c r="A681" s="108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</row>
    <row r="682">
      <c r="A682" s="108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</row>
    <row r="683">
      <c r="A683" s="108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</row>
    <row r="684">
      <c r="A684" s="108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</row>
    <row r="685">
      <c r="A685" s="108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</row>
    <row r="686">
      <c r="A686" s="108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</row>
    <row r="687">
      <c r="A687" s="108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</row>
    <row r="688">
      <c r="A688" s="108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</row>
    <row r="689">
      <c r="A689" s="108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</row>
    <row r="690">
      <c r="A690" s="108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</row>
    <row r="691">
      <c r="A691" s="108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</row>
    <row r="692">
      <c r="A692" s="108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</row>
    <row r="693">
      <c r="A693" s="108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</row>
    <row r="694">
      <c r="A694" s="108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</row>
    <row r="695">
      <c r="A695" s="108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</row>
    <row r="696">
      <c r="A696" s="108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</row>
    <row r="697">
      <c r="A697" s="108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</row>
    <row r="698">
      <c r="A698" s="108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</row>
    <row r="699">
      <c r="A699" s="108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</row>
    <row r="700">
      <c r="A700" s="108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</row>
    <row r="701">
      <c r="A701" s="108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</row>
    <row r="702">
      <c r="A702" s="108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</row>
    <row r="703">
      <c r="A703" s="108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</row>
    <row r="704">
      <c r="A704" s="108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</row>
    <row r="705">
      <c r="A705" s="108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</row>
    <row r="706">
      <c r="A706" s="108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</row>
    <row r="707">
      <c r="A707" s="108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</row>
    <row r="708">
      <c r="A708" s="108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</row>
    <row r="709">
      <c r="A709" s="108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</row>
    <row r="710">
      <c r="A710" s="108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</row>
    <row r="711">
      <c r="A711" s="108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</row>
    <row r="712">
      <c r="A712" s="108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</row>
    <row r="713">
      <c r="A713" s="108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</row>
    <row r="714">
      <c r="A714" s="108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</row>
    <row r="715">
      <c r="A715" s="108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</row>
    <row r="716">
      <c r="A716" s="108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</row>
    <row r="717">
      <c r="A717" s="108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</row>
    <row r="718">
      <c r="A718" s="108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</row>
    <row r="719">
      <c r="A719" s="108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</row>
    <row r="720">
      <c r="A720" s="108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</row>
    <row r="721">
      <c r="A721" s="108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</row>
    <row r="722">
      <c r="A722" s="108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</row>
    <row r="723">
      <c r="A723" s="108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</row>
    <row r="724">
      <c r="A724" s="108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</row>
    <row r="725">
      <c r="A725" s="108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</row>
    <row r="726">
      <c r="A726" s="108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</row>
    <row r="727">
      <c r="A727" s="108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</row>
    <row r="728">
      <c r="A728" s="108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</row>
    <row r="729">
      <c r="A729" s="108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</row>
    <row r="730">
      <c r="A730" s="108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</row>
    <row r="731">
      <c r="A731" s="108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</row>
    <row r="732">
      <c r="A732" s="108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</row>
    <row r="733">
      <c r="A733" s="108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</row>
    <row r="734">
      <c r="A734" s="108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</row>
    <row r="735">
      <c r="A735" s="108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</row>
    <row r="736">
      <c r="A736" s="108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</row>
    <row r="737">
      <c r="A737" s="108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</row>
    <row r="738">
      <c r="A738" s="108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</row>
    <row r="739">
      <c r="A739" s="108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</row>
    <row r="740">
      <c r="A740" s="108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</row>
    <row r="741">
      <c r="A741" s="108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</row>
    <row r="742">
      <c r="A742" s="108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</row>
    <row r="743">
      <c r="A743" s="108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</row>
    <row r="744">
      <c r="A744" s="108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</row>
    <row r="745">
      <c r="A745" s="108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</row>
    <row r="746">
      <c r="A746" s="108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</row>
    <row r="747">
      <c r="A747" s="108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</row>
    <row r="748">
      <c r="A748" s="108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</row>
    <row r="749">
      <c r="A749" s="108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</row>
    <row r="750">
      <c r="A750" s="108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</row>
    <row r="751">
      <c r="A751" s="108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</row>
    <row r="752">
      <c r="A752" s="108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</row>
    <row r="753">
      <c r="A753" s="108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</row>
    <row r="754">
      <c r="A754" s="108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</row>
    <row r="755">
      <c r="A755" s="108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</row>
    <row r="756">
      <c r="A756" s="108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</row>
    <row r="757">
      <c r="A757" s="108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</row>
    <row r="758">
      <c r="A758" s="108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</row>
    <row r="759">
      <c r="A759" s="108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</row>
    <row r="760">
      <c r="A760" s="108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</row>
    <row r="761">
      <c r="A761" s="108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</row>
    <row r="762">
      <c r="A762" s="108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</row>
    <row r="763">
      <c r="A763" s="108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</row>
    <row r="764">
      <c r="A764" s="108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</row>
    <row r="765">
      <c r="A765" s="108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</row>
    <row r="766">
      <c r="A766" s="108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</row>
    <row r="767">
      <c r="A767" s="108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</row>
    <row r="768">
      <c r="A768" s="108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</row>
    <row r="769">
      <c r="A769" s="108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</row>
    <row r="770">
      <c r="A770" s="108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</row>
    <row r="771">
      <c r="A771" s="108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</row>
    <row r="772">
      <c r="A772" s="108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</row>
    <row r="773">
      <c r="A773" s="108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</row>
    <row r="774">
      <c r="A774" s="108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</row>
    <row r="775">
      <c r="A775" s="108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</row>
    <row r="776">
      <c r="A776" s="108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</row>
    <row r="777">
      <c r="A777" s="108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</row>
    <row r="778">
      <c r="A778" s="108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</row>
    <row r="779">
      <c r="A779" s="108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</row>
    <row r="780">
      <c r="A780" s="108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</row>
    <row r="781">
      <c r="A781" s="108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</row>
    <row r="782">
      <c r="A782" s="108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</row>
    <row r="783">
      <c r="A783" s="108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</row>
    <row r="784">
      <c r="A784" s="108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</row>
    <row r="785">
      <c r="A785" s="108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</row>
    <row r="786">
      <c r="A786" s="108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</row>
    <row r="787">
      <c r="A787" s="108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</row>
    <row r="788">
      <c r="A788" s="108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</row>
    <row r="789">
      <c r="A789" s="108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</row>
    <row r="790">
      <c r="A790" s="108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</row>
    <row r="791">
      <c r="A791" s="108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</row>
    <row r="792">
      <c r="A792" s="108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</row>
    <row r="793">
      <c r="A793" s="108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</row>
    <row r="794">
      <c r="A794" s="108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</row>
    <row r="795">
      <c r="A795" s="108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</row>
    <row r="796">
      <c r="A796" s="108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</row>
    <row r="797">
      <c r="A797" s="108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</row>
    <row r="798">
      <c r="A798" s="108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</row>
    <row r="799">
      <c r="A799" s="108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</row>
    <row r="800">
      <c r="A800" s="108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</row>
    <row r="801">
      <c r="A801" s="108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</row>
    <row r="802">
      <c r="A802" s="108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</row>
    <row r="803">
      <c r="A803" s="108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</row>
    <row r="804">
      <c r="A804" s="108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</row>
    <row r="805">
      <c r="A805" s="108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</row>
    <row r="806">
      <c r="A806" s="108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</row>
    <row r="807">
      <c r="A807" s="108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</row>
    <row r="808">
      <c r="A808" s="108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</row>
    <row r="809">
      <c r="A809" s="108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</row>
    <row r="810">
      <c r="A810" s="108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</row>
    <row r="811">
      <c r="A811" s="108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</row>
    <row r="812">
      <c r="A812" s="108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</row>
    <row r="813">
      <c r="A813" s="108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</row>
    <row r="814">
      <c r="A814" s="108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</row>
    <row r="815">
      <c r="A815" s="108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</row>
    <row r="816">
      <c r="A816" s="108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</row>
    <row r="817">
      <c r="A817" s="108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</row>
    <row r="818">
      <c r="A818" s="108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</row>
    <row r="819">
      <c r="A819" s="108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</row>
    <row r="820">
      <c r="A820" s="108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</row>
    <row r="821">
      <c r="A821" s="108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</row>
    <row r="822">
      <c r="A822" s="108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</row>
    <row r="823">
      <c r="A823" s="108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</row>
    <row r="824">
      <c r="A824" s="108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</row>
    <row r="825">
      <c r="A825" s="108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</row>
    <row r="826">
      <c r="A826" s="108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</row>
    <row r="827">
      <c r="A827" s="108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</row>
    <row r="828">
      <c r="A828" s="108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</row>
    <row r="829">
      <c r="A829" s="108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</row>
    <row r="830">
      <c r="A830" s="108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</row>
    <row r="831">
      <c r="A831" s="108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</row>
    <row r="832">
      <c r="A832" s="108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</row>
    <row r="833">
      <c r="A833" s="108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</row>
    <row r="834">
      <c r="A834" s="108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</row>
    <row r="835">
      <c r="A835" s="108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</row>
    <row r="836">
      <c r="A836" s="108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</row>
    <row r="837">
      <c r="A837" s="108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</row>
    <row r="838">
      <c r="A838" s="108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</row>
    <row r="839">
      <c r="A839" s="108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</row>
    <row r="840">
      <c r="A840" s="108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</row>
    <row r="841">
      <c r="A841" s="108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</row>
    <row r="842">
      <c r="A842" s="108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</row>
    <row r="843">
      <c r="A843" s="108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</row>
    <row r="844">
      <c r="A844" s="108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</row>
    <row r="845">
      <c r="A845" s="108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</row>
    <row r="846">
      <c r="A846" s="108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</row>
    <row r="847">
      <c r="A847" s="108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</row>
    <row r="848">
      <c r="A848" s="108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</row>
    <row r="849">
      <c r="A849" s="108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</row>
    <row r="850">
      <c r="A850" s="108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</row>
    <row r="851">
      <c r="A851" s="108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</row>
    <row r="852">
      <c r="A852" s="108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</row>
    <row r="853">
      <c r="A853" s="108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</row>
    <row r="854">
      <c r="A854" s="108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</row>
    <row r="855">
      <c r="A855" s="108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</row>
    <row r="856">
      <c r="A856" s="108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</row>
    <row r="857">
      <c r="A857" s="108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</row>
    <row r="858">
      <c r="A858" s="108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</row>
    <row r="859">
      <c r="A859" s="108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</row>
    <row r="860">
      <c r="A860" s="108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</row>
    <row r="861">
      <c r="A861" s="108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</row>
    <row r="862">
      <c r="A862" s="108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</row>
    <row r="863">
      <c r="A863" s="108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</row>
    <row r="864">
      <c r="A864" s="108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</row>
    <row r="865">
      <c r="A865" s="108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</row>
    <row r="866">
      <c r="A866" s="108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</row>
    <row r="867">
      <c r="A867" s="108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</row>
    <row r="868">
      <c r="A868" s="108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</row>
    <row r="869">
      <c r="A869" s="108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</row>
    <row r="870">
      <c r="A870" s="108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</row>
    <row r="871">
      <c r="A871" s="108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</row>
    <row r="872">
      <c r="A872" s="108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</row>
    <row r="873">
      <c r="A873" s="108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</row>
    <row r="874">
      <c r="A874" s="108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</row>
    <row r="875">
      <c r="A875" s="108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</row>
    <row r="876">
      <c r="A876" s="108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</row>
    <row r="877">
      <c r="A877" s="108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</row>
    <row r="878">
      <c r="A878" s="108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</row>
    <row r="879">
      <c r="A879" s="108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</row>
    <row r="880">
      <c r="A880" s="108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</row>
    <row r="881">
      <c r="A881" s="108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</row>
    <row r="882">
      <c r="A882" s="108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</row>
    <row r="883">
      <c r="A883" s="108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</row>
    <row r="884">
      <c r="A884" s="108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</row>
    <row r="885">
      <c r="A885" s="108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</row>
    <row r="886">
      <c r="A886" s="108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</row>
    <row r="887">
      <c r="A887" s="108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</row>
    <row r="888">
      <c r="A888" s="108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</row>
    <row r="889">
      <c r="A889" s="108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</row>
    <row r="890">
      <c r="A890" s="108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</row>
    <row r="891">
      <c r="A891" s="108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</row>
    <row r="892">
      <c r="A892" s="108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</row>
    <row r="893">
      <c r="A893" s="108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</row>
    <row r="894">
      <c r="A894" s="108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</row>
    <row r="895">
      <c r="A895" s="108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</row>
    <row r="896">
      <c r="A896" s="108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</row>
    <row r="897">
      <c r="A897" s="108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</row>
    <row r="898">
      <c r="A898" s="108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</row>
    <row r="899">
      <c r="A899" s="108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</row>
    <row r="900">
      <c r="A900" s="108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</row>
    <row r="901">
      <c r="A901" s="108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</row>
    <row r="902">
      <c r="A902" s="108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</row>
    <row r="903">
      <c r="A903" s="108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</row>
    <row r="904">
      <c r="A904" s="108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</row>
    <row r="905">
      <c r="A905" s="108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</row>
    <row r="906">
      <c r="A906" s="108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</row>
    <row r="907">
      <c r="A907" s="108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</row>
    <row r="908">
      <c r="A908" s="108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</row>
    <row r="909">
      <c r="A909" s="108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</row>
    <row r="910">
      <c r="A910" s="108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</row>
    <row r="911">
      <c r="A911" s="108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</row>
    <row r="912">
      <c r="A912" s="108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</row>
    <row r="913">
      <c r="A913" s="108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</row>
    <row r="914">
      <c r="A914" s="108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</row>
    <row r="915">
      <c r="A915" s="108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</row>
    <row r="916">
      <c r="A916" s="108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</row>
    <row r="917">
      <c r="A917" s="108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</row>
    <row r="918">
      <c r="A918" s="108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</row>
    <row r="919">
      <c r="A919" s="108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</row>
    <row r="920">
      <c r="A920" s="108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</row>
    <row r="921">
      <c r="A921" s="108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</row>
    <row r="922">
      <c r="A922" s="108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</row>
    <row r="923">
      <c r="A923" s="108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</row>
    <row r="924">
      <c r="A924" s="108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</row>
    <row r="925">
      <c r="A925" s="108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</row>
    <row r="926">
      <c r="A926" s="108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</row>
    <row r="927">
      <c r="A927" s="108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</row>
    <row r="928">
      <c r="A928" s="108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</row>
    <row r="929">
      <c r="A929" s="108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</row>
    <row r="930">
      <c r="A930" s="108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</row>
    <row r="931">
      <c r="A931" s="108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</row>
    <row r="932">
      <c r="A932" s="108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</row>
    <row r="933">
      <c r="A933" s="108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</row>
    <row r="934">
      <c r="A934" s="108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</row>
    <row r="935">
      <c r="A935" s="108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</row>
    <row r="936">
      <c r="A936" s="108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</row>
    <row r="937">
      <c r="A937" s="108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</row>
    <row r="938">
      <c r="A938" s="108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</row>
    <row r="939">
      <c r="A939" s="108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</row>
    <row r="940">
      <c r="A940" s="108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</row>
    <row r="941">
      <c r="A941" s="108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</row>
    <row r="942">
      <c r="A942" s="108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</row>
    <row r="943">
      <c r="A943" s="108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</row>
    <row r="944">
      <c r="A944" s="108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</row>
    <row r="945">
      <c r="A945" s="108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</row>
    <row r="946">
      <c r="A946" s="108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</row>
    <row r="947">
      <c r="A947" s="108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</row>
    <row r="948">
      <c r="A948" s="108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</row>
    <row r="949">
      <c r="A949" s="108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</row>
    <row r="950">
      <c r="A950" s="108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</row>
    <row r="951">
      <c r="A951" s="108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</row>
    <row r="952">
      <c r="A952" s="108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</row>
    <row r="953">
      <c r="A953" s="108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</row>
    <row r="954">
      <c r="A954" s="108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</row>
    <row r="955">
      <c r="A955" s="108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</row>
    <row r="956">
      <c r="A956" s="108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</row>
    <row r="957">
      <c r="A957" s="108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</row>
    <row r="958">
      <c r="A958" s="108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</row>
    <row r="959">
      <c r="A959" s="108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</row>
    <row r="960">
      <c r="A960" s="108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</row>
    <row r="961">
      <c r="A961" s="108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</row>
    <row r="962">
      <c r="A962" s="108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</row>
    <row r="963">
      <c r="A963" s="108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</row>
    <row r="964">
      <c r="A964" s="108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</row>
    <row r="965">
      <c r="A965" s="108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</row>
    <row r="966">
      <c r="A966" s="108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</row>
    <row r="967">
      <c r="A967" s="108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</row>
    <row r="968">
      <c r="A968" s="108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</row>
    <row r="969">
      <c r="A969" s="108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</row>
    <row r="970">
      <c r="A970" s="108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</row>
    <row r="971">
      <c r="A971" s="108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</row>
    <row r="972">
      <c r="A972" s="108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</row>
    <row r="973">
      <c r="A973" s="108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</row>
    <row r="974">
      <c r="A974" s="108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</row>
    <row r="975">
      <c r="A975" s="108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</row>
    <row r="976">
      <c r="A976" s="108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</row>
    <row r="977">
      <c r="A977" s="108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</row>
    <row r="978">
      <c r="A978" s="108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</row>
    <row r="979">
      <c r="A979" s="108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</row>
    <row r="980">
      <c r="A980" s="108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</row>
    <row r="981">
      <c r="A981" s="108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</row>
    <row r="982">
      <c r="A982" s="108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</row>
    <row r="983">
      <c r="A983" s="108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</row>
    <row r="984">
      <c r="A984" s="108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</row>
    <row r="985">
      <c r="A985" s="108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</row>
    <row r="986">
      <c r="A986" s="108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</row>
    <row r="987">
      <c r="A987" s="108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</row>
    <row r="988">
      <c r="A988" s="108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</row>
    <row r="989">
      <c r="A989" s="108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</row>
    <row r="990">
      <c r="A990" s="108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</row>
    <row r="991">
      <c r="A991" s="108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</row>
    <row r="992">
      <c r="A992" s="108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</row>
    <row r="993">
      <c r="A993" s="108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</row>
    <row r="994">
      <c r="A994" s="108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</row>
    <row r="995">
      <c r="A995" s="108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</row>
    <row r="996">
      <c r="A996" s="108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</row>
    <row r="997">
      <c r="A997" s="108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</row>
    <row r="998">
      <c r="A998" s="108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</row>
    <row r="999">
      <c r="A999" s="108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</row>
    <row r="1000">
      <c r="A1000" s="108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</row>
    <row r="1001">
      <c r="A1001" s="108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</row>
    <row r="1002">
      <c r="A1002" s="108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  <c r="AM1002" s="42"/>
      <c r="AN1002" s="42"/>
      <c r="AO1002" s="42"/>
      <c r="AP1002" s="42"/>
    </row>
    <row r="1003">
      <c r="A1003" s="108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2"/>
      <c r="AF1003" s="42"/>
      <c r="AG1003" s="42"/>
      <c r="AH1003" s="42"/>
      <c r="AI1003" s="42"/>
      <c r="AJ1003" s="42"/>
      <c r="AK1003" s="42"/>
      <c r="AL1003" s="42"/>
      <c r="AM1003" s="42"/>
      <c r="AN1003" s="42"/>
      <c r="AO1003" s="42"/>
      <c r="AP1003" s="42"/>
    </row>
    <row r="1004">
      <c r="A1004" s="108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  <c r="AF1004" s="42"/>
      <c r="AG1004" s="42"/>
      <c r="AH1004" s="42"/>
      <c r="AI1004" s="42"/>
      <c r="AJ1004" s="42"/>
      <c r="AK1004" s="42"/>
      <c r="AL1004" s="42"/>
      <c r="AM1004" s="42"/>
      <c r="AN1004" s="42"/>
      <c r="AO1004" s="42"/>
      <c r="AP1004" s="42"/>
    </row>
    <row r="1005">
      <c r="A1005" s="108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  <c r="AF1005" s="42"/>
      <c r="AG1005" s="42"/>
      <c r="AH1005" s="42"/>
      <c r="AI1005" s="42"/>
      <c r="AJ1005" s="42"/>
      <c r="AK1005" s="42"/>
      <c r="AL1005" s="42"/>
      <c r="AM1005" s="42"/>
      <c r="AN1005" s="42"/>
      <c r="AO1005" s="42"/>
      <c r="AP1005" s="42"/>
    </row>
    <row r="1006">
      <c r="A1006" s="108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  <c r="AF1006" s="42"/>
      <c r="AG1006" s="42"/>
      <c r="AH1006" s="42"/>
      <c r="AI1006" s="42"/>
      <c r="AJ1006" s="42"/>
      <c r="AK1006" s="42"/>
      <c r="AL1006" s="42"/>
      <c r="AM1006" s="42"/>
      <c r="AN1006" s="42"/>
      <c r="AO1006" s="42"/>
      <c r="AP1006" s="42"/>
    </row>
    <row r="1007">
      <c r="A1007" s="108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2"/>
      <c r="AF1007" s="42"/>
      <c r="AG1007" s="42"/>
      <c r="AH1007" s="42"/>
      <c r="AI1007" s="42"/>
      <c r="AJ1007" s="42"/>
      <c r="AK1007" s="42"/>
      <c r="AL1007" s="42"/>
      <c r="AM1007" s="42"/>
      <c r="AN1007" s="42"/>
      <c r="AO1007" s="42"/>
      <c r="AP1007" s="42"/>
    </row>
    <row r="1008">
      <c r="A1008" s="108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2"/>
      <c r="AF1008" s="42"/>
      <c r="AG1008" s="42"/>
      <c r="AH1008" s="42"/>
      <c r="AI1008" s="42"/>
      <c r="AJ1008" s="42"/>
      <c r="AK1008" s="42"/>
      <c r="AL1008" s="42"/>
      <c r="AM1008" s="42"/>
      <c r="AN1008" s="42"/>
      <c r="AO1008" s="42"/>
      <c r="AP1008" s="42"/>
    </row>
    <row r="1009">
      <c r="A1009" s="108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  <c r="AB1009" s="42"/>
      <c r="AC1009" s="42"/>
      <c r="AD1009" s="42"/>
      <c r="AE1009" s="42"/>
      <c r="AF1009" s="42"/>
      <c r="AG1009" s="42"/>
      <c r="AH1009" s="42"/>
      <c r="AI1009" s="42"/>
      <c r="AJ1009" s="42"/>
      <c r="AK1009" s="42"/>
      <c r="AL1009" s="42"/>
      <c r="AM1009" s="42"/>
      <c r="AN1009" s="42"/>
      <c r="AO1009" s="42"/>
      <c r="AP1009" s="42"/>
    </row>
    <row r="1010">
      <c r="A1010" s="108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2"/>
      <c r="AF1010" s="42"/>
      <c r="AG1010" s="42"/>
      <c r="AH1010" s="42"/>
      <c r="AI1010" s="42"/>
      <c r="AJ1010" s="42"/>
      <c r="AK1010" s="42"/>
      <c r="AL1010" s="42"/>
      <c r="AM1010" s="42"/>
      <c r="AN1010" s="42"/>
      <c r="AO1010" s="42"/>
      <c r="AP1010" s="42"/>
    </row>
    <row r="1011">
      <c r="A1011" s="108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  <c r="AB1011" s="42"/>
      <c r="AC1011" s="42"/>
      <c r="AD1011" s="42"/>
      <c r="AE1011" s="42"/>
      <c r="AF1011" s="42"/>
      <c r="AG1011" s="42"/>
      <c r="AH1011" s="42"/>
      <c r="AI1011" s="42"/>
      <c r="AJ1011" s="42"/>
      <c r="AK1011" s="42"/>
      <c r="AL1011" s="42"/>
      <c r="AM1011" s="42"/>
      <c r="AN1011" s="42"/>
      <c r="AO1011" s="42"/>
      <c r="AP1011" s="42"/>
    </row>
    <row r="1012">
      <c r="A1012" s="108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2"/>
      <c r="AF1012" s="42"/>
      <c r="AG1012" s="42"/>
      <c r="AH1012" s="42"/>
      <c r="AI1012" s="42"/>
      <c r="AJ1012" s="42"/>
      <c r="AK1012" s="42"/>
      <c r="AL1012" s="42"/>
      <c r="AM1012" s="42"/>
      <c r="AN1012" s="42"/>
      <c r="AO1012" s="42"/>
      <c r="AP1012" s="42"/>
    </row>
    <row r="1013">
      <c r="A1013" s="108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2"/>
      <c r="AM1013" s="42"/>
      <c r="AN1013" s="42"/>
      <c r="AO1013" s="42"/>
      <c r="AP1013" s="42"/>
    </row>
    <row r="1014">
      <c r="A1014" s="108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  <c r="AF1014" s="42"/>
      <c r="AG1014" s="42"/>
      <c r="AH1014" s="42"/>
      <c r="AI1014" s="42"/>
      <c r="AJ1014" s="42"/>
      <c r="AK1014" s="42"/>
      <c r="AL1014" s="42"/>
      <c r="AM1014" s="42"/>
      <c r="AN1014" s="42"/>
      <c r="AO1014" s="42"/>
      <c r="AP1014" s="42"/>
    </row>
    <row r="1015">
      <c r="A1015" s="108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2"/>
      <c r="AF1015" s="42"/>
      <c r="AG1015" s="42"/>
      <c r="AH1015" s="42"/>
      <c r="AI1015" s="42"/>
      <c r="AJ1015" s="42"/>
      <c r="AK1015" s="42"/>
      <c r="AL1015" s="42"/>
      <c r="AM1015" s="42"/>
      <c r="AN1015" s="42"/>
      <c r="AO1015" s="42"/>
      <c r="AP1015" s="42"/>
    </row>
    <row r="1016">
      <c r="A1016" s="108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/>
      <c r="AN1016" s="42"/>
      <c r="AO1016" s="42"/>
      <c r="AP1016" s="42"/>
    </row>
    <row r="1017">
      <c r="A1017" s="108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  <c r="AB1017" s="42"/>
      <c r="AC1017" s="42"/>
      <c r="AD1017" s="42"/>
      <c r="AE1017" s="42"/>
      <c r="AF1017" s="42"/>
      <c r="AG1017" s="42"/>
      <c r="AH1017" s="42"/>
      <c r="AI1017" s="42"/>
      <c r="AJ1017" s="42"/>
      <c r="AK1017" s="42"/>
      <c r="AL1017" s="42"/>
      <c r="AM1017" s="42"/>
      <c r="AN1017" s="42"/>
      <c r="AO1017" s="42"/>
      <c r="AP1017" s="42"/>
    </row>
    <row r="1018">
      <c r="A1018" s="108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2"/>
      <c r="AF1018" s="42"/>
      <c r="AG1018" s="42"/>
      <c r="AH1018" s="42"/>
      <c r="AI1018" s="42"/>
      <c r="AJ1018" s="42"/>
      <c r="AK1018" s="42"/>
      <c r="AL1018" s="42"/>
      <c r="AM1018" s="42"/>
      <c r="AN1018" s="42"/>
      <c r="AO1018" s="42"/>
      <c r="AP1018" s="42"/>
    </row>
    <row r="1019">
      <c r="A1019" s="108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  <c r="AB1019" s="42"/>
      <c r="AC1019" s="42"/>
      <c r="AD1019" s="42"/>
      <c r="AE1019" s="42"/>
      <c r="AF1019" s="42"/>
      <c r="AG1019" s="42"/>
      <c r="AH1019" s="42"/>
      <c r="AI1019" s="42"/>
      <c r="AJ1019" s="42"/>
      <c r="AK1019" s="42"/>
      <c r="AL1019" s="42"/>
      <c r="AM1019" s="42"/>
      <c r="AN1019" s="42"/>
      <c r="AO1019" s="42"/>
      <c r="AP1019" s="42"/>
    </row>
  </sheetData>
  <mergeCells count="14">
    <mergeCell ref="T62:W62"/>
    <mergeCell ref="X62:AB62"/>
    <mergeCell ref="AC62:AF62"/>
    <mergeCell ref="AG62:AK62"/>
    <mergeCell ref="AL62:AP62"/>
    <mergeCell ref="G63:AD63"/>
    <mergeCell ref="I1:J1"/>
    <mergeCell ref="A2:B2"/>
    <mergeCell ref="A14:B14"/>
    <mergeCell ref="A62:B62"/>
    <mergeCell ref="G62:K62"/>
    <mergeCell ref="L62:O62"/>
    <mergeCell ref="P62:S62"/>
    <mergeCell ref="A63:B63"/>
  </mergeCells>
  <drawing r:id="rId4"/>
  <legacyDrawing r:id="rId5"/>
</worksheet>
</file>